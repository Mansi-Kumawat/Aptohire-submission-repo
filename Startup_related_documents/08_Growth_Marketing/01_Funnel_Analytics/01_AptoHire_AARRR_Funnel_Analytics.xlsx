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Funnel" sheetId="1" state="visible" r:id="rId1"/>
    <sheet xmlns:r="http://schemas.openxmlformats.org/officeDocument/2006/relationships" name="Metric Definitions" sheetId="2" state="visible" r:id="rId2"/>
  </sheets>
  <definedNames>
    <definedName name="_xlnm._FilterDatabase" localSheetId="0" hidden="1">'Monthly Funnel'!$A$1:$N$14</definedName>
    <definedName name="_xlnm._FilterDatabase" localSheetId="1" hidden="1">'Metric Definitions'!$A$1:$E$12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₹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87A55"/>
    </font>
  </fonts>
  <fills count="4">
    <fill>
      <patternFill/>
    </fill>
    <fill>
      <patternFill patternType="gray125"/>
    </fill>
    <fill>
      <patternFill patternType="solid">
        <fgColor rgb="00172033"/>
      </patternFill>
    </fill>
    <fill>
      <patternFill patternType="solid">
        <fgColor rgb="00F4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20" customWidth="1" min="4" max="4"/>
    <col width="19" customWidth="1" min="5" max="5"/>
    <col width="14" customWidth="1" min="6" max="6"/>
    <col width="18" customWidth="1" min="7" max="7"/>
    <col width="15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7" customWidth="1" min="14" max="14"/>
  </cols>
  <sheetData>
    <row r="1" ht="44" customHeight="1">
      <c r="A1" s="1" t="inlineStr">
        <is>
          <t>Month</t>
        </is>
      </c>
      <c r="B1" s="1" t="inlineStr">
        <is>
          <t>Visitors / Leads</t>
        </is>
      </c>
      <c r="C1" s="1" t="inlineStr">
        <is>
          <t>Qualified Leads</t>
        </is>
      </c>
      <c r="D1" s="1" t="inlineStr">
        <is>
          <t>Activated Accounts</t>
        </is>
      </c>
      <c r="E1" s="1" t="inlineStr">
        <is>
          <t>Retained Accounts</t>
        </is>
      </c>
      <c r="F1" s="1" t="inlineStr">
        <is>
          <t>Referrals</t>
        </is>
      </c>
      <c r="G1" s="1" t="inlineStr">
        <is>
          <t>Paying Customers</t>
        </is>
      </c>
      <c r="H1" s="1" t="inlineStr">
        <is>
          <t>Revenue (INR)</t>
        </is>
      </c>
      <c r="I1" s="1" t="inlineStr">
        <is>
          <t>Visitor→Qualified</t>
        </is>
      </c>
      <c r="J1" s="1" t="inlineStr">
        <is>
          <t>Qualified→Activated</t>
        </is>
      </c>
      <c r="K1" s="1" t="inlineStr">
        <is>
          <t>Activation→Retained</t>
        </is>
      </c>
      <c r="L1" s="1" t="inlineStr">
        <is>
          <t>Retained→Referral</t>
        </is>
      </c>
      <c r="M1" s="1" t="inlineStr">
        <is>
          <t>Activated→Paid</t>
        </is>
      </c>
      <c r="N1" s="1" t="inlineStr">
        <is>
          <t>Revenue / Paying Customer</t>
        </is>
      </c>
    </row>
    <row r="2">
      <c r="A2" s="2" t="inlineStr">
        <is>
          <t>Month 1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3">
        <f>IFERROR(C2/B2,0)</f>
        <v/>
      </c>
      <c r="J2" s="3">
        <f>IFERROR(D2/C2,0)</f>
        <v/>
      </c>
      <c r="K2" s="3">
        <f>IFERROR(E2/D2,0)</f>
        <v/>
      </c>
      <c r="L2" s="3">
        <f>IFERROR(F2/E2,0)</f>
        <v/>
      </c>
      <c r="M2" s="3">
        <f>IFERROR(G2/D2,0)</f>
        <v/>
      </c>
      <c r="N2" s="4">
        <f>IFERROR(H2/G2,0)</f>
        <v/>
      </c>
    </row>
    <row r="3">
      <c r="A3" s="5" t="inlineStr">
        <is>
          <t>Month 2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6">
        <f>IFERROR(C3/B3,0)</f>
        <v/>
      </c>
      <c r="J3" s="6">
        <f>IFERROR(D3/C3,0)</f>
        <v/>
      </c>
      <c r="K3" s="6">
        <f>IFERROR(E3/D3,0)</f>
        <v/>
      </c>
      <c r="L3" s="6">
        <f>IFERROR(F3/E3,0)</f>
        <v/>
      </c>
      <c r="M3" s="6">
        <f>IFERROR(G3/D3,0)</f>
        <v/>
      </c>
      <c r="N3" s="7">
        <f>IFERROR(H3/G3,0)</f>
        <v/>
      </c>
    </row>
    <row r="4">
      <c r="A4" s="2" t="inlineStr">
        <is>
          <t>Month 3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3">
        <f>IFERROR(C4/B4,0)</f>
        <v/>
      </c>
      <c r="J4" s="3">
        <f>IFERROR(D4/C4,0)</f>
        <v/>
      </c>
      <c r="K4" s="3">
        <f>IFERROR(E4/D4,0)</f>
        <v/>
      </c>
      <c r="L4" s="3">
        <f>IFERROR(F4/E4,0)</f>
        <v/>
      </c>
      <c r="M4" s="3">
        <f>IFERROR(G4/D4,0)</f>
        <v/>
      </c>
      <c r="N4" s="4">
        <f>IFERROR(H4/G4,0)</f>
        <v/>
      </c>
    </row>
    <row r="5">
      <c r="A5" s="5" t="inlineStr">
        <is>
          <t>Month 4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6">
        <f>IFERROR(C5/B5,0)</f>
        <v/>
      </c>
      <c r="J5" s="6">
        <f>IFERROR(D5/C5,0)</f>
        <v/>
      </c>
      <c r="K5" s="6">
        <f>IFERROR(E5/D5,0)</f>
        <v/>
      </c>
      <c r="L5" s="6">
        <f>IFERROR(F5/E5,0)</f>
        <v/>
      </c>
      <c r="M5" s="6">
        <f>IFERROR(G5/D5,0)</f>
        <v/>
      </c>
      <c r="N5" s="7">
        <f>IFERROR(H5/G5,0)</f>
        <v/>
      </c>
    </row>
    <row r="6">
      <c r="A6" s="2" t="inlineStr">
        <is>
          <t>Month 5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3">
        <f>IFERROR(C6/B6,0)</f>
        <v/>
      </c>
      <c r="J6" s="3">
        <f>IFERROR(D6/C6,0)</f>
        <v/>
      </c>
      <c r="K6" s="3">
        <f>IFERROR(E6/D6,0)</f>
        <v/>
      </c>
      <c r="L6" s="3">
        <f>IFERROR(F6/E6,0)</f>
        <v/>
      </c>
      <c r="M6" s="3">
        <f>IFERROR(G6/D6,0)</f>
        <v/>
      </c>
      <c r="N6" s="4">
        <f>IFERROR(H6/G6,0)</f>
        <v/>
      </c>
    </row>
    <row r="7">
      <c r="A7" s="5" t="inlineStr">
        <is>
          <t>Month 6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6">
        <f>IFERROR(C7/B7,0)</f>
        <v/>
      </c>
      <c r="J7" s="6">
        <f>IFERROR(D7/C7,0)</f>
        <v/>
      </c>
      <c r="K7" s="6">
        <f>IFERROR(E7/D7,0)</f>
        <v/>
      </c>
      <c r="L7" s="6">
        <f>IFERROR(F7/E7,0)</f>
        <v/>
      </c>
      <c r="M7" s="6">
        <f>IFERROR(G7/D7,0)</f>
        <v/>
      </c>
      <c r="N7" s="7">
        <f>IFERROR(H7/G7,0)</f>
        <v/>
      </c>
    </row>
    <row r="8">
      <c r="A8" s="2" t="inlineStr">
        <is>
          <t>Month 7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3">
        <f>IFERROR(C8/B8,0)</f>
        <v/>
      </c>
      <c r="J8" s="3">
        <f>IFERROR(D8/C8,0)</f>
        <v/>
      </c>
      <c r="K8" s="3">
        <f>IFERROR(E8/D8,0)</f>
        <v/>
      </c>
      <c r="L8" s="3">
        <f>IFERROR(F8/E8,0)</f>
        <v/>
      </c>
      <c r="M8" s="3">
        <f>IFERROR(G8/D8,0)</f>
        <v/>
      </c>
      <c r="N8" s="4">
        <f>IFERROR(H8/G8,0)</f>
        <v/>
      </c>
    </row>
    <row r="9">
      <c r="A9" s="5" t="inlineStr">
        <is>
          <t>Month 8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6">
        <f>IFERROR(C9/B9,0)</f>
        <v/>
      </c>
      <c r="J9" s="6">
        <f>IFERROR(D9/C9,0)</f>
        <v/>
      </c>
      <c r="K9" s="6">
        <f>IFERROR(E9/D9,0)</f>
        <v/>
      </c>
      <c r="L9" s="6">
        <f>IFERROR(F9/E9,0)</f>
        <v/>
      </c>
      <c r="M9" s="6">
        <f>IFERROR(G9/D9,0)</f>
        <v/>
      </c>
      <c r="N9" s="7">
        <f>IFERROR(H9/G9,0)</f>
        <v/>
      </c>
    </row>
    <row r="10">
      <c r="A10" s="2" t="inlineStr">
        <is>
          <t>Month 9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3">
        <f>IFERROR(C10/B10,0)</f>
        <v/>
      </c>
      <c r="J10" s="3">
        <f>IFERROR(D10/C10,0)</f>
        <v/>
      </c>
      <c r="K10" s="3">
        <f>IFERROR(E10/D10,0)</f>
        <v/>
      </c>
      <c r="L10" s="3">
        <f>IFERROR(F10/E10,0)</f>
        <v/>
      </c>
      <c r="M10" s="3">
        <f>IFERROR(G10/D10,0)</f>
        <v/>
      </c>
      <c r="N10" s="4">
        <f>IFERROR(H10/G10,0)</f>
        <v/>
      </c>
    </row>
    <row r="11">
      <c r="A11" s="5" t="inlineStr">
        <is>
          <t>Month 10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6">
        <f>IFERROR(C11/B11,0)</f>
        <v/>
      </c>
      <c r="J11" s="6">
        <f>IFERROR(D11/C11,0)</f>
        <v/>
      </c>
      <c r="K11" s="6">
        <f>IFERROR(E11/D11,0)</f>
        <v/>
      </c>
      <c r="L11" s="6">
        <f>IFERROR(F11/E11,0)</f>
        <v/>
      </c>
      <c r="M11" s="6">
        <f>IFERROR(G11/D11,0)</f>
        <v/>
      </c>
      <c r="N11" s="7">
        <f>IFERROR(H11/G11,0)</f>
        <v/>
      </c>
    </row>
    <row r="12">
      <c r="A12" s="2" t="inlineStr">
        <is>
          <t>Month 11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3">
        <f>IFERROR(C12/B12,0)</f>
        <v/>
      </c>
      <c r="J12" s="3">
        <f>IFERROR(D12/C12,0)</f>
        <v/>
      </c>
      <c r="K12" s="3">
        <f>IFERROR(E12/D12,0)</f>
        <v/>
      </c>
      <c r="L12" s="3">
        <f>IFERROR(F12/E12,0)</f>
        <v/>
      </c>
      <c r="M12" s="3">
        <f>IFERROR(G12/D12,0)</f>
        <v/>
      </c>
      <c r="N12" s="4">
        <f>IFERROR(H12/G12,0)</f>
        <v/>
      </c>
    </row>
    <row r="13">
      <c r="A13" s="5" t="inlineStr">
        <is>
          <t>Month 12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6">
        <f>IFERROR(C13/B13,0)</f>
        <v/>
      </c>
      <c r="J13" s="6">
        <f>IFERROR(D13/C13,0)</f>
        <v/>
      </c>
      <c r="K13" s="6">
        <f>IFERROR(E13/D13,0)</f>
        <v/>
      </c>
      <c r="L13" s="6">
        <f>IFERROR(F13/E13,0)</f>
        <v/>
      </c>
      <c r="M13" s="6">
        <f>IFERROR(G13/D13,0)</f>
        <v/>
      </c>
      <c r="N13" s="7">
        <f>IFERROR(H13/G13,0)</f>
        <v/>
      </c>
    </row>
    <row r="14">
      <c r="A14" s="2" t="inlineStr">
        <is>
          <t>TOTAL / PERIOD</t>
        </is>
      </c>
      <c r="B14" s="8">
        <f>SUM(B2:B13)</f>
        <v/>
      </c>
      <c r="C14" s="8">
        <f>SUM(C2:C13)</f>
        <v/>
      </c>
      <c r="D14" s="8">
        <f>SUM(D2:D13)</f>
        <v/>
      </c>
      <c r="E14" s="8">
        <f>SUM(E2:E13)</f>
        <v/>
      </c>
      <c r="F14" s="8">
        <f>SUM(F2:F13)</f>
        <v/>
      </c>
      <c r="G14" s="8">
        <f>SUM(G2:G13)</f>
        <v/>
      </c>
      <c r="H14" s="8">
        <f>SUM(H2:H13)</f>
        <v/>
      </c>
      <c r="I14" s="9">
        <f>IFERROR(C14/B14,0)</f>
        <v/>
      </c>
      <c r="J14" s="9">
        <f>IFERROR(D14/C14,0)</f>
        <v/>
      </c>
      <c r="K14" s="9">
        <f>IFERROR(E14/D14,0)</f>
        <v/>
      </c>
      <c r="L14" s="9">
        <f>IFERROR(F14/E14,0)</f>
        <v/>
      </c>
      <c r="M14" s="9">
        <f>IFERROR(G14/D14,0)</f>
        <v/>
      </c>
      <c r="N14" s="10">
        <f>IFERROR(H14/G14,0)</f>
        <v/>
      </c>
    </row>
  </sheetData>
  <autoFilter ref="A1:N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32" customWidth="1" min="3" max="3"/>
    <col width="32" customWidth="1" min="4" max="4"/>
    <col width="32" customWidth="1" min="5" max="5"/>
  </cols>
  <sheetData>
    <row r="1" ht="44" customHeight="1">
      <c r="A1" s="1" t="inlineStr">
        <is>
          <t>AARRR stage</t>
        </is>
      </c>
      <c r="B1" s="1" t="inlineStr">
        <is>
          <t>Metric</t>
        </is>
      </c>
      <c r="C1" s="1" t="inlineStr">
        <is>
          <t>Definition / formula</t>
        </is>
      </c>
      <c r="D1" s="1" t="inlineStr">
        <is>
          <t>Suggested segmentation</t>
        </is>
      </c>
      <c r="E1" s="1" t="inlineStr">
        <is>
          <t>Owner / cadence</t>
        </is>
      </c>
    </row>
    <row r="2">
      <c r="A2" s="2" t="inlineStr">
        <is>
          <t>Acquisition</t>
        </is>
      </c>
      <c r="B2" s="2" t="inlineStr">
        <is>
          <t>Visitor / lead</t>
        </is>
      </c>
      <c r="C2" s="2" t="inlineStr">
        <is>
          <t>Unique relevant visitors or captured leads; define one consistently</t>
        </is>
      </c>
      <c r="D2" s="2" t="inlineStr">
        <is>
          <t>Channel, campaign, university, cohort</t>
        </is>
      </c>
      <c r="E2" s="2" t="inlineStr">
        <is>
          <t>Growth / weekly</t>
        </is>
      </c>
    </row>
    <row r="3">
      <c r="A3" s="5" t="inlineStr">
        <is>
          <t>Acquisition</t>
        </is>
      </c>
      <c r="B3" s="5" t="inlineStr">
        <is>
          <t>Qualified lead</t>
        </is>
      </c>
      <c r="C3" s="5" t="inlineStr">
        <is>
          <t>Lead meeting written ICP qualification criteria</t>
        </is>
      </c>
      <c r="D3" s="5" t="inlineStr">
        <is>
          <t>Institution size, role, need, timing</t>
        </is>
      </c>
      <c r="E3" s="5" t="inlineStr">
        <is>
          <t>Partnerships / weekly</t>
        </is>
      </c>
    </row>
    <row r="4">
      <c r="A4" s="2" t="inlineStr">
        <is>
          <t>Activation</t>
        </is>
      </c>
      <c r="B4" s="2" t="inlineStr">
        <is>
          <t>Activated account</t>
        </is>
      </c>
      <c r="C4" s="2" t="inlineStr">
        <is>
          <t>Account completes a meaningful first value event defined by product</t>
        </is>
      </c>
      <c r="D4" s="2" t="inlineStr">
        <is>
          <t>Student, university, employer; onboarding cohort</t>
        </is>
      </c>
      <c r="E4" s="2" t="inlineStr">
        <is>
          <t>Product / weekly</t>
        </is>
      </c>
    </row>
    <row r="5">
      <c r="A5" s="5" t="inlineStr">
        <is>
          <t>Retention</t>
        </is>
      </c>
      <c r="B5" s="5" t="inlineStr">
        <is>
          <t>Retained account</t>
        </is>
      </c>
      <c r="C5" s="5" t="inlineStr">
        <is>
          <t>Account repeats meaningful value event within chosen period</t>
        </is>
      </c>
      <c r="D5" s="5" t="inlineStr">
        <is>
          <t>Cohort, product segment, institution</t>
        </is>
      </c>
      <c r="E5" s="5" t="inlineStr">
        <is>
          <t>Product / monthly</t>
        </is>
      </c>
    </row>
    <row r="6">
      <c r="A6" s="2" t="inlineStr">
        <is>
          <t>Referral</t>
        </is>
      </c>
      <c r="B6" s="2" t="inlineStr">
        <is>
          <t>Referral</t>
        </is>
      </c>
      <c r="C6" s="2" t="inlineStr">
        <is>
          <t>Verified referred lead/account, deduplicated</t>
        </is>
      </c>
      <c r="D6" s="2" t="inlineStr">
        <is>
          <t>Referrer type and channel</t>
        </is>
      </c>
      <c r="E6" s="2" t="inlineStr">
        <is>
          <t>Growth / monthly</t>
        </is>
      </c>
    </row>
    <row r="7">
      <c r="A7" s="5" t="inlineStr">
        <is>
          <t>Revenue</t>
        </is>
      </c>
      <c r="B7" s="5" t="inlineStr">
        <is>
          <t>Paying customer</t>
        </is>
      </c>
      <c r="C7" s="5" t="inlineStr">
        <is>
          <t>Customer with collected or contractually recognised payment; define policy</t>
        </is>
      </c>
      <c r="D7" s="5" t="inlineStr">
        <is>
          <t>Plan, segment, contract type</t>
        </is>
      </c>
      <c r="E7" s="5" t="inlineStr">
        <is>
          <t>Finance / monthly</t>
        </is>
      </c>
    </row>
    <row r="8">
      <c r="A8" s="2" t="inlineStr">
        <is>
          <t>Revenue</t>
        </is>
      </c>
      <c r="B8" s="2" t="inlineStr">
        <is>
          <t>Revenue per paying customer</t>
        </is>
      </c>
      <c r="C8" s="2" t="inlineStr">
        <is>
          <t>Revenue divided by paying customers for the same period</t>
        </is>
      </c>
      <c r="D8" s="2" t="inlineStr">
        <is>
          <t>Segment, plan, new vs expansion</t>
        </is>
      </c>
      <c r="E8" s="2" t="inlineStr">
        <is>
          <t>Finance / monthly</t>
        </is>
      </c>
    </row>
    <row r="9">
      <c r="A9" s="5" t="inlineStr">
        <is>
          <t>Guardrail</t>
        </is>
      </c>
      <c r="B9" s="5" t="inlineStr">
        <is>
          <t>Activation time</t>
        </is>
      </c>
      <c r="C9" s="5" t="inlineStr">
        <is>
          <t>Median time from signup to first value event</t>
        </is>
      </c>
      <c r="D9" s="5" t="inlineStr">
        <is>
          <t>Segment and cohort</t>
        </is>
      </c>
      <c r="E9" s="5" t="inlineStr">
        <is>
          <t>Product / weekly</t>
        </is>
      </c>
    </row>
    <row r="10">
      <c r="A10" s="2" t="inlineStr">
        <is>
          <t>Guardrail</t>
        </is>
      </c>
      <c r="B10" s="2" t="inlineStr">
        <is>
          <t>Pilot conversion</t>
        </is>
      </c>
      <c r="C10" s="2" t="inlineStr">
        <is>
          <t>Pilots converting to paid contracts / pilots eligible to convert</t>
        </is>
      </c>
      <c r="D10" s="2" t="inlineStr">
        <is>
          <t>Institution cohort, sales owner</t>
        </is>
      </c>
      <c r="E10" s="2" t="inlineStr">
        <is>
          <t>Sales / monthly</t>
        </is>
      </c>
    </row>
    <row r="11">
      <c r="A11" s="5" t="inlineStr">
        <is>
          <t>Guardrail</t>
        </is>
      </c>
      <c r="B11" s="5" t="inlineStr">
        <is>
          <t>Data quality</t>
        </is>
      </c>
      <c r="C11" s="5" t="inlineStr">
        <is>
          <t>Share of records with valid source, timestamp and deduplication</t>
        </is>
      </c>
      <c r="D11" s="5" t="inlineStr">
        <is>
          <t>Source/channel</t>
        </is>
      </c>
      <c r="E11" s="5" t="inlineStr">
        <is>
          <t>Growth Ops / monthly</t>
        </is>
      </c>
    </row>
    <row r="12">
      <c r="A12" s="2" t="inlineStr">
        <is>
          <t>Guardrail</t>
        </is>
      </c>
      <c r="B12" s="2" t="inlineStr">
        <is>
          <t>Trust incidents</t>
        </is>
      </c>
      <c r="C12" s="2" t="inlineStr">
        <is>
          <t>Count and severity of privacy/security complaints/incidents</t>
        </is>
      </c>
      <c r="D12" s="2" t="inlineStr">
        <is>
          <t>Severity, workflow</t>
        </is>
      </c>
      <c r="E12" s="2" t="inlineStr">
        <is>
          <t>Security owner / immediate + monthly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2026-10-30T06:05:23Z</dcterms:created>
  <dcterms:modified xmlns:dcterms="http://purl.org/dc/terms/" xmlns:xsi="http://www.w3.org/2001/XMLSchema-instance" xsi:type="dcterms:W3CDTF">2026-10-30T06:05:23Z</dcterms:modified>
</cp:coreProperties>
</file>