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5Y 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urn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"/>
    <numFmt numFmtId="166" formatCode="#,##0.0;[Red](#,##0.0);-"/>
    <numFmt numFmtId="167" formatCode="₹#,##0;[Red](₹#,##0);-"/>
  </numFmts>
  <fonts count="9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7085"/>
      <sz val="10"/>
    </font>
    <font>
      <b val="1"/>
      <color rgb="00FFFFFF"/>
    </font>
    <font>
      <b val="1"/>
      <color rgb="00FFFFFF"/>
      <sz val="16"/>
    </font>
    <font>
      <color rgb="00253044"/>
    </font>
    <font>
      <b val="1"/>
      <color rgb="00172033"/>
    </font>
    <font>
      <b val="1"/>
      <color rgb="00087A55"/>
      <sz val="12"/>
    </font>
    <font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087A55"/>
      </patternFill>
    </fill>
    <fill>
      <patternFill patternType="solid">
        <fgColor rgb="00F4F7F5"/>
      </patternFill>
    </fill>
    <fill>
      <patternFill patternType="solid">
        <fgColor rgb="00EA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2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6" fillId="5" borderId="0" pivotButton="0" quotePrefix="0" xfId="0"/>
    <xf numFmtId="166" fontId="0" fillId="5" borderId="0" pivotButton="0" quotePrefix="0" xfId="0"/>
    <xf numFmtId="164" fontId="0" fillId="5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0" fillId="4" borderId="0" pivotButton="0" quotePrefix="0" xfId="0"/>
    <xf numFmtId="167" fontId="0" fillId="4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9" customWidth="1" min="3" max="3"/>
    <col width="58" customWidth="1" min="4" max="4"/>
  </cols>
  <sheetData>
    <row r="1" ht="30" customHeight="1">
      <c r="A1" s="1" t="inlineStr">
        <is>
          <t>APTOHIRE | FINANCIAL MODEL &amp; PROJECTIONS</t>
        </is>
      </c>
    </row>
    <row r="2" ht="34" customHeight="1">
      <c r="A2" s="2" t="inlineStr">
        <is>
          <t>Editable scenario model, INR, 5 fiscal years. All values below are illustrative planning assumptions—not actuals, commitments or forecasts validated with customers.</t>
        </is>
      </c>
    </row>
    <row r="4">
      <c r="A4" s="3" t="inlineStr">
        <is>
          <t>Input / Assumption</t>
        </is>
      </c>
      <c r="B4" s="3" t="inlineStr">
        <is>
          <t>Value</t>
        </is>
      </c>
      <c r="C4" s="3" t="inlineStr">
        <is>
          <t>Unit / basis</t>
        </is>
      </c>
      <c r="D4" s="3" t="inlineStr">
        <is>
          <t>Rationale / status</t>
        </is>
      </c>
    </row>
    <row r="5" ht="32" customHeight="1">
      <c r="A5" s="4" t="inlineStr">
        <is>
          <t>Starting paying institutions</t>
        </is>
      </c>
      <c r="B5" s="5" t="n">
        <v>2</v>
      </c>
      <c r="C5" s="4" t="inlineStr">
        <is>
          <t>institutions</t>
        </is>
      </c>
      <c r="D5" s="4" t="inlineStr">
        <is>
          <t>Illustrative launch cohort; replace with pipeline evidence.</t>
        </is>
      </c>
    </row>
    <row r="6" ht="32" customHeight="1">
      <c r="A6" s="6" t="inlineStr">
        <is>
          <t>Annual new institutions added</t>
        </is>
      </c>
      <c r="B6" s="7" t="n">
        <v>5</v>
      </c>
      <c r="C6" s="6" t="inlineStr">
        <is>
          <t>institutions/year</t>
        </is>
      </c>
      <c r="D6" s="6" t="inlineStr">
        <is>
          <t>Illustrative sales capacity assumption.</t>
        </is>
      </c>
    </row>
    <row r="7" ht="32" customHeight="1">
      <c r="A7" s="4" t="inlineStr">
        <is>
          <t>Annual institution churn</t>
        </is>
      </c>
      <c r="B7" s="8" t="n">
        <v>0.1</v>
      </c>
      <c r="C7" s="4" t="inlineStr">
        <is>
          <t>%</t>
        </is>
      </c>
      <c r="D7" s="4" t="inlineStr">
        <is>
          <t>Assumed churn; not observed.</t>
        </is>
      </c>
    </row>
    <row r="8" ht="32" customHeight="1">
      <c r="A8" s="6" t="inlineStr">
        <is>
          <t>Annual licence price</t>
        </is>
      </c>
      <c r="B8" s="9" t="n">
        <v>600000</v>
      </c>
      <c r="C8" s="6" t="inlineStr">
        <is>
          <t>INR/institution/year</t>
        </is>
      </c>
      <c r="D8" s="6" t="inlineStr">
        <is>
          <t>Illustrative ₹6 lakh; validate willingness to pay.</t>
        </is>
      </c>
    </row>
    <row r="9" ht="32" customHeight="1">
      <c r="A9" s="4" t="inlineStr">
        <is>
          <t>Pilot revenue per new institution</t>
        </is>
      </c>
      <c r="B9" s="10" t="n">
        <v>100000</v>
      </c>
      <c r="C9" s="4" t="inlineStr">
        <is>
          <t>INR/one-time pilot</t>
        </is>
      </c>
      <c r="D9" s="4" t="inlineStr">
        <is>
          <t>Illustrative; assumed for new institutions.</t>
        </is>
      </c>
    </row>
    <row r="10" ht="32" customHeight="1">
      <c r="A10" s="6" t="inlineStr">
        <is>
          <t>Pilot conversion rate</t>
        </is>
      </c>
      <c r="B10" s="11" t="n">
        <v>0.5</v>
      </c>
      <c r="C10" s="6" t="inlineStr">
        <is>
          <t>% of new institutions</t>
        </is>
      </c>
      <c r="D10" s="6" t="inlineStr">
        <is>
          <t>Assumed conversion; not validated.</t>
        </is>
      </c>
    </row>
    <row r="11" ht="32" customHeight="1">
      <c r="A11" s="4" t="inlineStr">
        <is>
          <t>Implementation revenue per new institution</t>
        </is>
      </c>
      <c r="B11" s="10" t="n">
        <v>50000</v>
      </c>
      <c r="C11" s="4" t="inlineStr">
        <is>
          <t>INR/one-time</t>
        </is>
      </c>
      <c r="D11" s="4" t="inlineStr">
        <is>
          <t>Illustrative onboarding/integration fee.</t>
        </is>
      </c>
    </row>
    <row r="12" ht="32" customHeight="1">
      <c r="A12" s="6" t="inlineStr">
        <is>
          <t>Direct service cost per new institution</t>
        </is>
      </c>
      <c r="B12" s="9" t="n">
        <v>25000</v>
      </c>
      <c r="C12" s="6" t="inlineStr">
        <is>
          <t>INR/one-time</t>
        </is>
      </c>
      <c r="D12" s="6" t="inlineStr">
        <is>
          <t>Illustrative delivery cost.</t>
        </is>
      </c>
    </row>
    <row r="13" ht="32" customHeight="1">
      <c r="A13" s="4" t="inlineStr">
        <is>
          <t>Annual direct support cost per active institution</t>
        </is>
      </c>
      <c r="B13" s="10" t="n">
        <v>60000</v>
      </c>
      <c r="C13" s="4" t="inlineStr">
        <is>
          <t>INR/institution/year</t>
        </is>
      </c>
      <c r="D13" s="4" t="inlineStr">
        <is>
          <t>Illustrative support/hosting allocation.</t>
        </is>
      </c>
    </row>
    <row r="14" ht="32" customHeight="1">
      <c r="A14" s="6" t="inlineStr">
        <is>
          <t>Annual payroll / contractor cost</t>
        </is>
      </c>
      <c r="B14" s="9" t="n">
        <v>3600000</v>
      </c>
      <c r="C14" s="6" t="inlineStr">
        <is>
          <t>INR/year</t>
        </is>
      </c>
      <c r="D14" s="6" t="inlineStr">
        <is>
          <t>Illustrative lean team budget; replace with quotes.</t>
        </is>
      </c>
    </row>
    <row r="15" ht="32" customHeight="1">
      <c r="A15" s="4" t="inlineStr">
        <is>
          <t>Annual sales &amp; marketing cost</t>
        </is>
      </c>
      <c r="B15" s="10" t="n">
        <v>900000</v>
      </c>
      <c r="C15" s="4" t="inlineStr">
        <is>
          <t>INR/year</t>
        </is>
      </c>
      <c r="D15" s="4" t="inlineStr">
        <is>
          <t>Illustrative; includes outreach and events.</t>
        </is>
      </c>
    </row>
    <row r="16" ht="32" customHeight="1">
      <c r="A16" s="6" t="inlineStr">
        <is>
          <t>Annual G&amp;A / legal / accounting</t>
        </is>
      </c>
      <c r="B16" s="9" t="n">
        <v>600000</v>
      </c>
      <c r="C16" s="6" t="inlineStr">
        <is>
          <t>INR/year</t>
        </is>
      </c>
      <c r="D16" s="6" t="inlineStr">
        <is>
          <t>Illustrative operating overhead.</t>
        </is>
      </c>
    </row>
    <row r="17" ht="32" customHeight="1">
      <c r="A17" s="4" t="inlineStr">
        <is>
          <t>Annual product / cloud / security cost</t>
        </is>
      </c>
      <c r="B17" s="10" t="n">
        <v>900000</v>
      </c>
      <c r="C17" s="4" t="inlineStr">
        <is>
          <t>INR/year</t>
        </is>
      </c>
      <c r="D17" s="4" t="inlineStr">
        <is>
          <t>Illustrative infrastructure, software and reviews.</t>
        </is>
      </c>
    </row>
    <row r="18" ht="32" customHeight="1">
      <c r="A18" s="6" t="inlineStr">
        <is>
          <t>Annual cost inflation</t>
        </is>
      </c>
      <c r="B18" s="11" t="n">
        <v>0.08</v>
      </c>
      <c r="C18" s="6" t="inlineStr">
        <is>
          <t>%</t>
        </is>
      </c>
      <c r="D18" s="6" t="inlineStr">
        <is>
          <t>Assumed annual increase in operating costs.</t>
        </is>
      </c>
    </row>
    <row r="19" ht="32" customHeight="1">
      <c r="A19" s="4" t="inlineStr">
        <is>
          <t>Opening cash balance</t>
        </is>
      </c>
      <c r="B19" s="10" t="n">
        <v>5000000</v>
      </c>
      <c r="C19" s="4" t="inlineStr">
        <is>
          <t>INR</t>
        </is>
      </c>
      <c r="D19" s="4" t="inlineStr">
        <is>
          <t>Illustrative opening funding/cash; not a claim of actual funds.</t>
        </is>
      </c>
    </row>
    <row r="20" ht="32" customHeight="1">
      <c r="A20" s="6" t="inlineStr">
        <is>
          <t>Tax / financing / depreciation</t>
        </is>
      </c>
      <c r="B20" s="9" t="n">
        <v>0</v>
      </c>
      <c r="C20" s="6" t="inlineStr">
        <is>
          <t>INR/year</t>
        </is>
      </c>
      <c r="D20" s="6" t="inlineStr">
        <is>
          <t>Simplified pre-tax, pre-financing operating model; replace with accountant-reviewed schedules.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5-YEAR PROFIT &amp; LOSS (SCENARIO)</t>
        </is>
      </c>
    </row>
    <row r="3">
      <c r="A3" s="3" t="inlineStr">
        <is>
          <t>Metric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Year 4</t>
        </is>
      </c>
      <c r="F3" s="3" t="inlineStr">
        <is>
          <t>Year 5</t>
        </is>
      </c>
    </row>
    <row r="4">
      <c r="A4" s="13" t="inlineStr">
        <is>
          <t>New institutions</t>
        </is>
      </c>
      <c r="B4" s="14">
        <f>Assumptions!$B$6</f>
        <v/>
      </c>
      <c r="C4" s="14">
        <f>Assumptions!$B$6</f>
        <v/>
      </c>
      <c r="D4" s="14">
        <f>Assumptions!$B$6</f>
        <v/>
      </c>
      <c r="E4" s="14">
        <f>Assumptions!$B$6</f>
        <v/>
      </c>
      <c r="F4" s="14">
        <f>Assumptions!$B$6</f>
        <v/>
      </c>
    </row>
    <row r="5">
      <c r="A5" s="13" t="inlineStr">
        <is>
          <t>Opening active institutions</t>
        </is>
      </c>
      <c r="B5" s="14">
        <f>Assumptions!$B$5</f>
        <v/>
      </c>
      <c r="C5" s="14">
        <f>B8</f>
        <v/>
      </c>
      <c r="D5" s="14">
        <f>C8</f>
        <v/>
      </c>
      <c r="E5" s="14">
        <f>D8</f>
        <v/>
      </c>
      <c r="F5" s="14">
        <f>E8</f>
        <v/>
      </c>
    </row>
    <row r="6">
      <c r="A6" s="13" t="inlineStr">
        <is>
          <t>Churned institutions</t>
        </is>
      </c>
      <c r="B6" s="14">
        <f>B5*Assumptions!$B$7</f>
        <v/>
      </c>
      <c r="C6" s="14">
        <f>C5*Assumptions!$B$7</f>
        <v/>
      </c>
      <c r="D6" s="14">
        <f>D5*Assumptions!$B$7</f>
        <v/>
      </c>
      <c r="E6" s="14">
        <f>E5*Assumptions!$B$7</f>
        <v/>
      </c>
      <c r="F6" s="14">
        <f>F5*Assumptions!$B$7</f>
        <v/>
      </c>
    </row>
    <row r="7">
      <c r="A7" s="13" t="inlineStr">
        <is>
          <t>New annual licence conversions</t>
        </is>
      </c>
      <c r="B7" s="14">
        <f>B4*Assumptions!$B$10</f>
        <v/>
      </c>
      <c r="C7" s="14">
        <f>C4*Assumptions!$B$10</f>
        <v/>
      </c>
      <c r="D7" s="14">
        <f>D4*Assumptions!$B$10</f>
        <v/>
      </c>
      <c r="E7" s="14">
        <f>E4*Assumptions!$B$10</f>
        <v/>
      </c>
      <c r="F7" s="14">
        <f>F4*Assumptions!$B$10</f>
        <v/>
      </c>
    </row>
    <row r="8">
      <c r="A8" s="13" t="inlineStr">
        <is>
          <t>Ending active institutions</t>
        </is>
      </c>
      <c r="B8" s="14">
        <f>B5-B6+B7</f>
        <v/>
      </c>
      <c r="C8" s="14">
        <f>C5-C6+C7</f>
        <v/>
      </c>
      <c r="D8" s="14">
        <f>D5-D6+D7</f>
        <v/>
      </c>
      <c r="E8" s="14">
        <f>E5-E6+E7</f>
        <v/>
      </c>
      <c r="F8" s="14">
        <f>F5-F6+F7</f>
        <v/>
      </c>
    </row>
    <row r="9">
      <c r="A9" s="13" t="inlineStr">
        <is>
          <t>Recurring licence revenue</t>
        </is>
      </c>
      <c r="B9" s="14">
        <f>(B5+B8)/2*Assumptions!$B$8</f>
        <v/>
      </c>
      <c r="C9" s="14">
        <f>(C5+C8)/2*Assumptions!$B$8</f>
        <v/>
      </c>
      <c r="D9" s="14">
        <f>(D5+D8)/2*Assumptions!$B$8</f>
        <v/>
      </c>
      <c r="E9" s="14">
        <f>(E5+E8)/2*Assumptions!$B$8</f>
        <v/>
      </c>
      <c r="F9" s="14">
        <f>(F5+F8)/2*Assumptions!$B$8</f>
        <v/>
      </c>
    </row>
    <row r="10">
      <c r="A10" s="13" t="inlineStr">
        <is>
          <t>Pilot revenue</t>
        </is>
      </c>
      <c r="B10" s="14">
        <f>B4*Assumptions!$B$9</f>
        <v/>
      </c>
      <c r="C10" s="14">
        <f>C4*Assumptions!$B$9</f>
        <v/>
      </c>
      <c r="D10" s="14">
        <f>D4*Assumptions!$B$9</f>
        <v/>
      </c>
      <c r="E10" s="14">
        <f>E4*Assumptions!$B$9</f>
        <v/>
      </c>
      <c r="F10" s="14">
        <f>F4*Assumptions!$B$9</f>
        <v/>
      </c>
    </row>
    <row r="11">
      <c r="A11" s="13" t="inlineStr">
        <is>
          <t>Implementation revenue</t>
        </is>
      </c>
      <c r="B11" s="14">
        <f>B4*Assumptions!$B$11</f>
        <v/>
      </c>
      <c r="C11" s="14">
        <f>C4*Assumptions!$B$11</f>
        <v/>
      </c>
      <c r="D11" s="14">
        <f>D4*Assumptions!$B$11</f>
        <v/>
      </c>
      <c r="E11" s="14">
        <f>E4*Assumptions!$B$11</f>
        <v/>
      </c>
      <c r="F11" s="14">
        <f>F4*Assumptions!$B$11</f>
        <v/>
      </c>
    </row>
    <row r="12">
      <c r="A12" s="15" t="inlineStr">
        <is>
          <t>TOTAL REVENUE</t>
        </is>
      </c>
      <c r="B12" s="16">
        <f>SUM(B9:B11)</f>
        <v/>
      </c>
      <c r="C12" s="16">
        <f>SUM(C9:C11)</f>
        <v/>
      </c>
      <c r="D12" s="16">
        <f>SUM(D9:D11)</f>
        <v/>
      </c>
      <c r="E12" s="16">
        <f>SUM(E9:E11)</f>
        <v/>
      </c>
      <c r="F12" s="16">
        <f>SUM(F9:F11)</f>
        <v/>
      </c>
    </row>
    <row r="13">
      <c r="A13" s="13" t="inlineStr">
        <is>
          <t>Direct service cost</t>
        </is>
      </c>
      <c r="B13" s="14">
        <f>B4*Assumptions!$B$12</f>
        <v/>
      </c>
      <c r="C13" s="14">
        <f>C4*Assumptions!$B$12</f>
        <v/>
      </c>
      <c r="D13" s="14">
        <f>D4*Assumptions!$B$12</f>
        <v/>
      </c>
      <c r="E13" s="14">
        <f>E4*Assumptions!$B$12</f>
        <v/>
      </c>
      <c r="F13" s="14">
        <f>F4*Assumptions!$B$12</f>
        <v/>
      </c>
    </row>
    <row r="14">
      <c r="A14" s="13" t="inlineStr">
        <is>
          <t>Direct support cost</t>
        </is>
      </c>
      <c r="B14" s="14">
        <f>B8*Assumptions!$B$13</f>
        <v/>
      </c>
      <c r="C14" s="14">
        <f>C8*Assumptions!$B$13</f>
        <v/>
      </c>
      <c r="D14" s="14">
        <f>D8*Assumptions!$B$13</f>
        <v/>
      </c>
      <c r="E14" s="14">
        <f>E8*Assumptions!$B$13</f>
        <v/>
      </c>
      <c r="F14" s="14">
        <f>F8*Assumptions!$B$13</f>
        <v/>
      </c>
    </row>
    <row r="15">
      <c r="A15" s="15" t="inlineStr">
        <is>
          <t>TOTAL COST OF REVENUE</t>
        </is>
      </c>
      <c r="B15" s="16">
        <f>SUM(B13:B14)</f>
        <v/>
      </c>
      <c r="C15" s="16">
        <f>SUM(C13:C14)</f>
        <v/>
      </c>
      <c r="D15" s="16">
        <f>SUM(D13:D14)</f>
        <v/>
      </c>
      <c r="E15" s="16">
        <f>SUM(E13:E14)</f>
        <v/>
      </c>
      <c r="F15" s="16">
        <f>SUM(F13:F14)</f>
        <v/>
      </c>
    </row>
    <row r="16">
      <c r="A16" s="15" t="inlineStr">
        <is>
          <t>GROSS PROFIT</t>
        </is>
      </c>
      <c r="B16" s="16">
        <f>B12-B15</f>
        <v/>
      </c>
      <c r="C16" s="16">
        <f>C12-C15</f>
        <v/>
      </c>
      <c r="D16" s="16">
        <f>D12-D15</f>
        <v/>
      </c>
      <c r="E16" s="16">
        <f>E12-E15</f>
        <v/>
      </c>
      <c r="F16" s="16">
        <f>F12-F15</f>
        <v/>
      </c>
    </row>
    <row r="17">
      <c r="A17" s="13" t="inlineStr">
        <is>
          <t>Payroll / contractors</t>
        </is>
      </c>
      <c r="B17" s="14">
        <f>Assumptions!$B$14</f>
        <v/>
      </c>
      <c r="C17" s="14">
        <f>B17*(1+Assumptions!$B$18)</f>
        <v/>
      </c>
      <c r="D17" s="14">
        <f>C17*(1+Assumptions!$B$18)</f>
        <v/>
      </c>
      <c r="E17" s="14">
        <f>D17*(1+Assumptions!$B$18)</f>
        <v/>
      </c>
      <c r="F17" s="14">
        <f>E17*(1+Assumptions!$B$18)</f>
        <v/>
      </c>
    </row>
    <row r="18">
      <c r="A18" s="13" t="inlineStr">
        <is>
          <t>Sales &amp; marketing</t>
        </is>
      </c>
      <c r="B18" s="14">
        <f>Assumptions!$B$15</f>
        <v/>
      </c>
      <c r="C18" s="14">
        <f>B18*(1+Assumptions!$B$18)</f>
        <v/>
      </c>
      <c r="D18" s="14">
        <f>C18*(1+Assumptions!$B$18)</f>
        <v/>
      </c>
      <c r="E18" s="14">
        <f>D18*(1+Assumptions!$B$18)</f>
        <v/>
      </c>
      <c r="F18" s="14">
        <f>E18*(1+Assumptions!$B$18)</f>
        <v/>
      </c>
    </row>
    <row r="19">
      <c r="A19" s="13" t="inlineStr">
        <is>
          <t>G&amp;A / legal / accounting</t>
        </is>
      </c>
      <c r="B19" s="14">
        <f>Assumptions!$B$16</f>
        <v/>
      </c>
      <c r="C19" s="14">
        <f>B19*(1+Assumptions!$B$18)</f>
        <v/>
      </c>
      <c r="D19" s="14">
        <f>C19*(1+Assumptions!$B$18)</f>
        <v/>
      </c>
      <c r="E19" s="14">
        <f>D19*(1+Assumptions!$B$18)</f>
        <v/>
      </c>
      <c r="F19" s="14">
        <f>E19*(1+Assumptions!$B$18)</f>
        <v/>
      </c>
    </row>
    <row r="20">
      <c r="A20" s="13" t="inlineStr">
        <is>
          <t>Product / cloud / security</t>
        </is>
      </c>
      <c r="B20" s="14">
        <f>Assumptions!$B$17</f>
        <v/>
      </c>
      <c r="C20" s="14">
        <f>B20*(1+Assumptions!$B$18)</f>
        <v/>
      </c>
      <c r="D20" s="14">
        <f>C20*(1+Assumptions!$B$18)</f>
        <v/>
      </c>
      <c r="E20" s="14">
        <f>D20*(1+Assumptions!$B$18)</f>
        <v/>
      </c>
      <c r="F20" s="14">
        <f>E20*(1+Assumptions!$B$18)</f>
        <v/>
      </c>
    </row>
    <row r="21">
      <c r="A21" s="15" t="inlineStr">
        <is>
          <t>TOTAL OPERATING EXPENSES</t>
        </is>
      </c>
      <c r="B21" s="16">
        <f>SUM(B17:B20)</f>
        <v/>
      </c>
      <c r="C21" s="16">
        <f>SUM(C17:C20)</f>
        <v/>
      </c>
      <c r="D21" s="16">
        <f>SUM(D17:D20)</f>
        <v/>
      </c>
      <c r="E21" s="16">
        <f>SUM(E17:E20)</f>
        <v/>
      </c>
      <c r="F21" s="16">
        <f>SUM(F17:F20)</f>
        <v/>
      </c>
    </row>
    <row r="22">
      <c r="A22" s="15" t="inlineStr">
        <is>
          <t>OPERATING PROFIT / (LOSS)</t>
        </is>
      </c>
      <c r="B22" s="16">
        <f>B16-B21</f>
        <v/>
      </c>
      <c r="C22" s="16">
        <f>C16-C21</f>
        <v/>
      </c>
      <c r="D22" s="16">
        <f>D16-D21</f>
        <v/>
      </c>
      <c r="E22" s="16">
        <f>E16-E21</f>
        <v/>
      </c>
      <c r="F22" s="16">
        <f>F16-F21</f>
        <v/>
      </c>
    </row>
    <row r="23">
      <c r="A23" s="15" t="inlineStr">
        <is>
          <t>Operating margin</t>
        </is>
      </c>
      <c r="B23" s="17">
        <f>IFERROR(B22/B12,0)</f>
        <v/>
      </c>
      <c r="C23" s="17">
        <f>IFERROR(C22/C12,0)</f>
        <v/>
      </c>
      <c r="D23" s="17">
        <f>IFERROR(D22/D12,0)</f>
        <v/>
      </c>
      <c r="E23" s="17">
        <f>IFERROR(E22/E12,0)</f>
        <v/>
      </c>
      <c r="F23" s="17">
        <f>IFERROR(F22/F12,0)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CASH FLOW &amp; RUNWAY (SIMPLIFIED)</t>
        </is>
      </c>
    </row>
    <row r="3">
      <c r="A3" s="3" t="inlineStr">
        <is>
          <t>Metric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Year 4</t>
        </is>
      </c>
      <c r="F3" s="3" t="inlineStr">
        <is>
          <t>Year 5</t>
        </is>
      </c>
    </row>
    <row r="4">
      <c r="A4" t="inlineStr">
        <is>
          <t>Opening cash</t>
        </is>
      </c>
      <c r="B4" s="14">
        <f>Assumptions!$B$19</f>
        <v/>
      </c>
      <c r="C4" s="14">
        <f>B9</f>
        <v/>
      </c>
      <c r="D4" s="14">
        <f>C9</f>
        <v/>
      </c>
      <c r="E4" s="14">
        <f>D9</f>
        <v/>
      </c>
      <c r="F4" s="14">
        <f>E9</f>
        <v/>
      </c>
    </row>
    <row r="5">
      <c r="A5" t="inlineStr">
        <is>
          <t>Operating profit / (loss)</t>
        </is>
      </c>
      <c r="B5" s="14">
        <f>'5Y P&amp;L'!B22</f>
        <v/>
      </c>
      <c r="C5" s="14">
        <f>'5Y P&amp;L'!C22</f>
        <v/>
      </c>
      <c r="D5" s="14">
        <f>'5Y P&amp;L'!D22</f>
        <v/>
      </c>
      <c r="E5" s="14">
        <f>'5Y P&amp;L'!E22</f>
        <v/>
      </c>
      <c r="F5" s="14">
        <f>'5Y P&amp;L'!F22</f>
        <v/>
      </c>
    </row>
    <row r="6">
      <c r="A6" t="inlineStr">
        <is>
          <t>Capital expenditure / one-off build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</row>
    <row r="7">
      <c r="A7" t="inlineStr">
        <is>
          <t>Financing raised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</row>
    <row r="8">
      <c r="A8" t="inlineStr">
        <is>
          <t>Net cash movement</t>
        </is>
      </c>
      <c r="B8" s="14">
        <f>B5-B6+B7</f>
        <v/>
      </c>
      <c r="C8" s="14">
        <f>C5-C6+C7</f>
        <v/>
      </c>
      <c r="D8" s="14">
        <f>D5-D6+D7</f>
        <v/>
      </c>
      <c r="E8" s="14">
        <f>E5-E6+E7</f>
        <v/>
      </c>
      <c r="F8" s="14">
        <f>F5-F6+F7</f>
        <v/>
      </c>
    </row>
    <row r="9">
      <c r="A9" t="inlineStr">
        <is>
          <t>Closing cash</t>
        </is>
      </c>
      <c r="B9" s="14">
        <f>B4+B8</f>
        <v/>
      </c>
      <c r="C9" s="14">
        <f>C4+C8</f>
        <v/>
      </c>
      <c r="D9" s="14">
        <f>D4+D8</f>
        <v/>
      </c>
      <c r="E9" s="14">
        <f>E4+E8</f>
        <v/>
      </c>
      <c r="F9" s="14">
        <f>F4+F8</f>
        <v/>
      </c>
    </row>
    <row r="10">
      <c r="A10" t="inlineStr">
        <is>
          <t>Average monthly net burn (if negative)</t>
        </is>
      </c>
      <c r="B10" s="14">
        <f>IF(B8&lt;0,-B8/12,0)</f>
        <v/>
      </c>
      <c r="C10" s="14">
        <f>IF(C8&lt;0,-C8/12,0)</f>
        <v/>
      </c>
      <c r="D10" s="14">
        <f>IF(D8&lt;0,-D8/12,0)</f>
        <v/>
      </c>
      <c r="E10" s="14">
        <f>IF(E8&lt;0,-E8/12,0)</f>
        <v/>
      </c>
      <c r="F10" s="14">
        <f>IF(F8&lt;0,-F8/12,0)</f>
        <v/>
      </c>
    </row>
    <row r="11">
      <c r="A11" t="inlineStr">
        <is>
          <t>Runway months (if net burn)</t>
        </is>
      </c>
      <c r="B11" s="14">
        <f>IF(B10&gt;0,B4/B10,0)</f>
        <v/>
      </c>
      <c r="C11" s="14">
        <f>IF(C10&gt;0,C4/C10,0)</f>
        <v/>
      </c>
      <c r="D11" s="14">
        <f>IF(D10&gt;0,D4/D10,0)</f>
        <v/>
      </c>
      <c r="E11" s="14">
        <f>IF(E10&gt;0,E4/E10,0)</f>
        <v/>
      </c>
      <c r="F11" s="14">
        <f>IF(F10&gt;0,F4/F10,0)</f>
        <v/>
      </c>
    </row>
    <row r="14">
      <c r="A14" s="18" t="inlineStr">
        <is>
          <t>Model notes</t>
        </is>
      </c>
    </row>
    <row r="15" ht="30" customHeight="1">
      <c r="A15" s="6" t="inlineStr">
        <is>
          <t>Operating profit is used as a simplified cash proxy. Actual cash flow requires receivables, payables, taxes, working capital, capex, debt/equity proceeds and timing.</t>
        </is>
      </c>
    </row>
    <row r="16" ht="30" customHeight="1">
      <c r="A16" s="6" t="inlineStr">
        <is>
          <t>Enter capital expenditure and financing by year in rows 6–7. Negative closing cash signals a funding or cost/revenue timing issue.</t>
        </is>
      </c>
    </row>
    <row r="17" ht="30" customHeight="1">
      <c r="A17" s="6" t="inlineStr">
        <is>
          <t>Runway months are only a rough proxy using opening cash divided by annual net burn / 12; they are not a substitute for monthly cash forecasting.</t>
        </is>
      </c>
    </row>
    <row r="18" ht="30" customHeight="1">
      <c r="A18" s="6" t="inlineStr">
        <is>
          <t>All inputs are illustrative. Use actual payroll quotes, cloud bills, pilot terms, sales cycle, conversion and churn data before investor use.</t>
        </is>
      </c>
    </row>
  </sheetData>
  <mergeCells count="5">
    <mergeCell ref="A16:F16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30" customWidth="1" min="4" max="4"/>
  </cols>
  <sheetData>
    <row r="1">
      <c r="A1" s="19" t="inlineStr">
        <is>
          <t>MONTHLY BURN-RATE TRACKER</t>
        </is>
      </c>
    </row>
    <row r="3">
      <c r="A3" s="3" t="inlineStr">
        <is>
          <t>Cost category</t>
        </is>
      </c>
      <c r="B3" s="3" t="inlineStr">
        <is>
          <t>Monthly plan (INR)</t>
        </is>
      </c>
      <c r="C3" s="3" t="inlineStr">
        <is>
          <t>Monthly actual (INR)</t>
        </is>
      </c>
      <c r="D3" s="3" t="inlineStr">
        <is>
          <t>Variance (Actual - Plan)</t>
        </is>
      </c>
    </row>
    <row r="4">
      <c r="A4" s="20" t="inlineStr">
        <is>
          <t>Payroll / contractors</t>
        </is>
      </c>
      <c r="B4" s="21" t="n">
        <v>0</v>
      </c>
      <c r="C4" s="21" t="n">
        <v>0</v>
      </c>
      <c r="D4" s="21">
        <f>C4-B4</f>
        <v/>
      </c>
    </row>
    <row r="5">
      <c r="A5" t="inlineStr">
        <is>
          <t>Cloud / hosting / AI API</t>
        </is>
      </c>
      <c r="B5" s="22" t="n">
        <v>0</v>
      </c>
      <c r="C5" s="22" t="n">
        <v>0</v>
      </c>
      <c r="D5" s="22">
        <f>C5-B5</f>
        <v/>
      </c>
    </row>
    <row r="6">
      <c r="A6" s="20" t="inlineStr">
        <is>
          <t>Software / tools</t>
        </is>
      </c>
      <c r="B6" s="21" t="n">
        <v>0</v>
      </c>
      <c r="C6" s="21" t="n">
        <v>0</v>
      </c>
      <c r="D6" s="21">
        <f>C6-B6</f>
        <v/>
      </c>
    </row>
    <row r="7">
      <c r="A7" t="inlineStr">
        <is>
          <t>Sales / marketing / events</t>
        </is>
      </c>
      <c r="B7" s="22" t="n">
        <v>0</v>
      </c>
      <c r="C7" s="22" t="n">
        <v>0</v>
      </c>
      <c r="D7" s="22">
        <f>C7-B7</f>
        <v/>
      </c>
    </row>
    <row r="8">
      <c r="A8" s="20" t="inlineStr">
        <is>
          <t>Legal / accounting / compliance</t>
        </is>
      </c>
      <c r="B8" s="21" t="n">
        <v>0</v>
      </c>
      <c r="C8" s="21" t="n">
        <v>0</v>
      </c>
      <c r="D8" s="21">
        <f>C8-B8</f>
        <v/>
      </c>
    </row>
    <row r="9">
      <c r="A9" t="inlineStr">
        <is>
          <t>Travel / meetings</t>
        </is>
      </c>
      <c r="B9" s="22" t="n">
        <v>0</v>
      </c>
      <c r="C9" s="22" t="n">
        <v>0</v>
      </c>
      <c r="D9" s="22">
        <f>C9-B9</f>
        <v/>
      </c>
    </row>
    <row r="10">
      <c r="A10" s="20" t="inlineStr">
        <is>
          <t>Customer support / delivery</t>
        </is>
      </c>
      <c r="B10" s="21" t="n">
        <v>0</v>
      </c>
      <c r="C10" s="21" t="n">
        <v>0</v>
      </c>
      <c r="D10" s="21">
        <f>C10-B10</f>
        <v/>
      </c>
    </row>
    <row r="11">
      <c r="A11" t="inlineStr">
        <is>
          <t>Other</t>
        </is>
      </c>
      <c r="B11" s="22" t="n">
        <v>0</v>
      </c>
      <c r="C11" s="22" t="n">
        <v>0</v>
      </c>
      <c r="D11" s="22">
        <f>C11-B11</f>
        <v/>
      </c>
    </row>
    <row r="12">
      <c r="A12" s="15" t="inlineStr">
        <is>
          <t>TOTAL MONTHLY BURN</t>
        </is>
      </c>
      <c r="B12" s="15">
        <f>SUM(B4:B11)</f>
        <v/>
      </c>
      <c r="C12" s="15">
        <f>SUM(C4:C11)</f>
        <v/>
      </c>
      <c r="D12" s="15">
        <f>C12-B12</f>
        <v/>
      </c>
    </row>
    <row r="14" ht="32" customHeight="1">
      <c r="A14" s="23" t="inlineStr">
        <is>
          <t>Net burn = cash operating outflows minus cash operating inflows in the month. Keep planned and actual values separate.</t>
        </is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2026-10-30T05:56:42Z</dcterms:created>
  <dcterms:modified xmlns:dcterms="http://purl.org/dc/terms/" xmlns:xsi="http://www.w3.org/2001/XMLSchema-instance" xsi:type="dcterms:W3CDTF">2026-10-30T05:56:42Z</dcterms:modified>
</cp:coreProperties>
</file>