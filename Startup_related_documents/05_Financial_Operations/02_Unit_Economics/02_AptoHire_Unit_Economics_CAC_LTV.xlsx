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x"/>
    <numFmt numFmtId="165" formatCode="0.0%"/>
    <numFmt numFmtId="166" formatCode="₹#,##0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7085"/>
      <sz val="10"/>
    </font>
    <font>
      <b val="1"/>
      <color rgb="00FFFFFF"/>
    </font>
    <font>
      <b val="1"/>
      <color rgb="00087A55"/>
      <sz val="12"/>
    </font>
  </fonts>
  <fills count="5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087A55"/>
      </patternFill>
    </fill>
    <fill>
      <patternFill patternType="solid">
        <fgColor rgb="00F4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166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7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57" customWidth="1" min="3" max="3"/>
    <col width="30" customWidth="1" min="4" max="4"/>
  </cols>
  <sheetData>
    <row r="1" ht="30" customHeight="1">
      <c r="A1" s="1" t="inlineStr">
        <is>
          <t>APTOHIRE | UNIT ECONOMICS ANALYSIS</t>
        </is>
      </c>
    </row>
    <row r="2" ht="32" customHeight="1">
      <c r="A2" s="2" t="inlineStr">
        <is>
          <t>Editable, assumption-led model. Initial paying customer hypothesis: universities. All example values are illustrative, not observed results.</t>
        </is>
      </c>
    </row>
    <row r="4">
      <c r="A4" s="3" t="inlineStr">
        <is>
          <t>Metric / input</t>
        </is>
      </c>
      <c r="B4" s="3" t="inlineStr">
        <is>
          <t>Value</t>
        </is>
      </c>
      <c r="C4" s="3" t="inlineStr">
        <is>
          <t>Definition / formula</t>
        </is>
      </c>
      <c r="D4" s="3" t="inlineStr">
        <is>
          <t>Evidence status</t>
        </is>
      </c>
    </row>
    <row r="5" ht="33" customHeight="1">
      <c r="A5" s="4" t="inlineStr">
        <is>
          <t>Annual licence price</t>
        </is>
      </c>
      <c r="B5" s="5" t="n">
        <v>600000</v>
      </c>
      <c r="C5" s="4" t="inlineStr">
        <is>
          <t>Assumed annual revenue per university customer</t>
        </is>
      </c>
      <c r="D5" s="4" t="inlineStr">
        <is>
          <t>Illustrative</t>
        </is>
      </c>
    </row>
    <row r="6" ht="33" customHeight="1">
      <c r="A6" s="6" t="inlineStr">
        <is>
          <t>Annual direct cost to serve</t>
        </is>
      </c>
      <c r="B6" s="7" t="n">
        <v>60000</v>
      </c>
      <c r="C6" s="6" t="inlineStr">
        <is>
          <t>Support, hosting and service delivery cost per active customer</t>
        </is>
      </c>
      <c r="D6" s="6" t="inlineStr">
        <is>
          <t>Illustrative</t>
        </is>
      </c>
    </row>
    <row r="7" ht="33" customHeight="1">
      <c r="A7" s="4" t="inlineStr">
        <is>
          <t>Gross margin</t>
        </is>
      </c>
      <c r="B7" s="8">
        <f>IFERROR((B5-B6)/B5,0)</f>
        <v/>
      </c>
      <c r="C7" s="4" t="inlineStr">
        <is>
          <t>(Revenue − direct cost) / revenue</t>
        </is>
      </c>
      <c r="D7" s="4" t="inlineStr">
        <is>
          <t>Calculated from assumptions</t>
        </is>
      </c>
    </row>
    <row r="8" ht="33" customHeight="1">
      <c r="A8" s="6" t="inlineStr">
        <is>
          <t>Annual customer churn</t>
        </is>
      </c>
      <c r="B8" s="9" t="n">
        <v>0.1</v>
      </c>
      <c r="C8" s="6" t="inlineStr">
        <is>
          <t>Assumed fraction of customers lost annually</t>
        </is>
      </c>
      <c r="D8" s="6" t="inlineStr">
        <is>
          <t>Illustrative</t>
        </is>
      </c>
    </row>
    <row r="9" ht="33" customHeight="1">
      <c r="A9" s="4" t="inlineStr">
        <is>
          <t>Average customer lifetime (years)</t>
        </is>
      </c>
      <c r="B9" s="10">
        <f>IFERROR(1/B8,0)</f>
        <v/>
      </c>
      <c r="C9" s="4" t="inlineStr">
        <is>
          <t>Simple approximation: 1 / annual churn; not a cohort model</t>
        </is>
      </c>
      <c r="D9" s="4" t="inlineStr">
        <is>
          <t>Calculated from assumed churn</t>
        </is>
      </c>
    </row>
    <row r="10" ht="33" customHeight="1">
      <c r="A10" s="6" t="inlineStr">
        <is>
          <t>LTV (gross-profit basis)</t>
        </is>
      </c>
      <c r="B10" s="7">
        <f>B5*B7*B9</f>
        <v/>
      </c>
      <c r="C10" s="6" t="inlineStr">
        <is>
          <t>Annual licence revenue × gross margin × estimated lifetime</t>
        </is>
      </c>
      <c r="D10" s="6" t="inlineStr">
        <is>
          <t>Illustrative model output</t>
        </is>
      </c>
    </row>
    <row r="11" ht="33" customHeight="1">
      <c r="A11" s="4" t="inlineStr">
        <is>
          <t>CAC per acquired university</t>
        </is>
      </c>
      <c r="B11" s="5" t="n">
        <v>250000</v>
      </c>
      <c r="C11" s="4" t="inlineStr">
        <is>
          <t>Sales and marketing + allocated sales labour / new paying customers</t>
        </is>
      </c>
      <c r="D11" s="4" t="inlineStr">
        <is>
          <t>Illustrative</t>
        </is>
      </c>
    </row>
    <row r="12" ht="33" customHeight="1">
      <c r="A12" s="6" t="inlineStr">
        <is>
          <t>LTV:CAC ratio</t>
        </is>
      </c>
      <c r="B12" s="11">
        <f>IFERROR(B10/B11,0)</f>
        <v/>
      </c>
      <c r="C12" s="6" t="inlineStr">
        <is>
          <t>Gross-profit LTV / CAC</t>
        </is>
      </c>
      <c r="D12" s="6" t="inlineStr">
        <is>
          <t>Calculated from assumptions</t>
        </is>
      </c>
    </row>
    <row r="13" ht="33" customHeight="1">
      <c r="A13" s="4" t="inlineStr">
        <is>
          <t>CAC payback (months)</t>
        </is>
      </c>
      <c r="B13" s="8">
        <f>IFERROR(B11/(B5*B7)*12,0)</f>
        <v/>
      </c>
      <c r="C13" s="4" t="inlineStr">
        <is>
          <t>CAC / monthly gross profit per customer</t>
        </is>
      </c>
      <c r="D13" s="4" t="inlineStr">
        <is>
          <t>Calculated from assumptions</t>
        </is>
      </c>
    </row>
    <row r="14" ht="33" customHeight="1">
      <c r="A14" s="6" t="inlineStr">
        <is>
          <t>New paying customers in period</t>
        </is>
      </c>
      <c r="B14" s="12" t="n">
        <v>5</v>
      </c>
      <c r="C14" s="6" t="inlineStr">
        <is>
          <t>Count of newly acquired paying university customers</t>
        </is>
      </c>
      <c r="D14" s="6" t="inlineStr">
        <is>
          <t>Illustrative</t>
        </is>
      </c>
    </row>
    <row r="15" ht="33" customHeight="1">
      <c r="A15" s="4" t="inlineStr">
        <is>
          <t>Sales &amp; marketing cost in period</t>
        </is>
      </c>
      <c r="B15" s="5" t="n">
        <v>900000</v>
      </c>
      <c r="C15" s="4" t="inlineStr">
        <is>
          <t>Marketing + attributable sales costs for same period</t>
        </is>
      </c>
      <c r="D15" s="4" t="inlineStr">
        <is>
          <t>Illustrative</t>
        </is>
      </c>
    </row>
    <row r="16" ht="33" customHeight="1">
      <c r="A16" s="6" t="inlineStr">
        <is>
          <t>CAC cross-check</t>
        </is>
      </c>
      <c r="B16" s="7">
        <f>IFERROR(B15/B14,0)</f>
        <v/>
      </c>
      <c r="C16" s="6" t="inlineStr">
        <is>
          <t>Period sales &amp; marketing cost / new paying customers</t>
        </is>
      </c>
      <c r="D16" s="6" t="inlineStr">
        <is>
          <t>Calculated from assumptions</t>
        </is>
      </c>
    </row>
    <row r="17" ht="33" customHeight="1">
      <c r="A17" s="4" t="inlineStr">
        <is>
          <t>Pilot conversion rate</t>
        </is>
      </c>
      <c r="B17" s="8" t="n">
        <v>0.5</v>
      </c>
      <c r="C17" s="4" t="inlineStr">
        <is>
          <t>Share of pilot institutions converting to annual licence</t>
        </is>
      </c>
      <c r="D17" s="4" t="inlineStr">
        <is>
          <t>Illustrative</t>
        </is>
      </c>
    </row>
    <row r="18" ht="33" customHeight="1">
      <c r="A18" s="6" t="inlineStr">
        <is>
          <t>Pilot fee</t>
        </is>
      </c>
      <c r="B18" s="9" t="n">
        <v>100000</v>
      </c>
      <c r="C18" s="6" t="inlineStr">
        <is>
          <t>One-time paid pilot revenue per institution</t>
        </is>
      </c>
      <c r="D18" s="6" t="inlineStr">
        <is>
          <t>Illustrative</t>
        </is>
      </c>
    </row>
    <row r="19" ht="33" customHeight="1">
      <c r="A19" s="4" t="inlineStr">
        <is>
          <t>Implementation fee</t>
        </is>
      </c>
      <c r="B19" s="5" t="n">
        <v>50000</v>
      </c>
      <c r="C19" s="4" t="inlineStr">
        <is>
          <t>One-time onboarding / integration fee</t>
        </is>
      </c>
      <c r="D19" s="4" t="inlineStr">
        <is>
          <t>Illustrative</t>
        </is>
      </c>
    </row>
    <row r="20">
      <c r="B20" s="13" t="n"/>
    </row>
    <row r="23">
      <c r="A23" s="14" t="inlineStr">
        <is>
          <t>Interpretation guardrails</t>
        </is>
      </c>
    </row>
    <row r="24" ht="31" customHeight="1">
      <c r="A24" s="6" t="inlineStr">
        <is>
          <t>1. LTV is highly sensitive to churn and is unreliable before retention cohorts exist. Treat the simple 1/churn estimate as directional only.</t>
        </is>
      </c>
    </row>
    <row r="25" ht="31" customHeight="1">
      <c r="A25" s="6" t="inlineStr">
        <is>
          <t>2. CAC must include sales labour, events, travel, partner commissions and other acquisition costs, divided by the same-period new paying customers.</t>
        </is>
      </c>
    </row>
    <row r="26" ht="31" customHeight="1">
      <c r="A26" s="6" t="inlineStr">
        <is>
          <t>3. Do not compare LTV and CAC unless they use consistent customer definitions, time periods and gross-profit contribution.</t>
        </is>
      </c>
    </row>
    <row r="27" ht="31" customHeight="1">
      <c r="A27" s="6" t="inlineStr">
        <is>
          <t>4. Track pilot CAC and paid-pilot-to-annual-contract conversion separately from annual customer CAC.</t>
        </is>
      </c>
    </row>
    <row r="28" ht="31" customHeight="1">
      <c r="A28" s="6" t="inlineStr">
        <is>
          <t>5. AptoHire has not supplied actual revenue, customer, churn, acquisition-spend or retention data; this file does not imply observed unit economics.</t>
        </is>
      </c>
    </row>
  </sheetData>
  <mergeCells count="7">
    <mergeCell ref="A1:D1"/>
    <mergeCell ref="A27:D27"/>
    <mergeCell ref="A26:D26"/>
    <mergeCell ref="A25:D25"/>
    <mergeCell ref="A24:D24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2026-10-30T05:56:42Z</dcterms:created>
  <dcterms:modified xmlns:dcterms="http://purl.org/dc/terms/" xmlns:xsi="http://www.w3.org/2001/XMLSchema-instance" xsi:type="dcterms:W3CDTF">2026-10-30T05:56:42Z</dcterms:modified>
</cp:coreProperties>
</file>