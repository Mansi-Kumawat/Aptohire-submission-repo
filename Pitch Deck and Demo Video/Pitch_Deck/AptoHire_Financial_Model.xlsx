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Customers" sheetId="3" state="visible" r:id="rId5"/>
    <sheet name="PnL" sheetId="4" state="visible" r:id="rId6"/>
    <sheet name="UnitEconomics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<sst xmlns="http://schemas.openxmlformats.org/spreadsheetml/2006/main" count="251" uniqueCount="180">
  <si>
    <t xml:space="preserve">AptoHire financial model (5 years, INR)</t>
  </si>
  <si>
    <t xml:space="preserve">Purpose: an assumption-driven projection for pitch discussions. It is NOT a forecast backed by customer data.</t>
  </si>
  <si>
    <t xml:space="preserve">Status: every blue number is a hypothesis to validate in the pilot. Replace them with measured values as soon as you have them.</t>
  </si>
  <si>
    <t xml:space="preserve">How to use: change the yellow scenario cell on 'Assumptions' (1 Conservative, 2 Base, 3 Optimistic) or edit any blue input. All other sheets recalculate.</t>
  </si>
  <si>
    <t xml:space="preserve">Colour code: blue = input, black = formula, green = link to another sheet, yellow fill = key lever.</t>
  </si>
  <si>
    <t xml:space="preserve">Sheets: Assumptions (inputs) &gt; Customers (volumes) &gt; PnL (revenue, costs, cash) &gt; UnitEconomics &gt; Scenarios (static snapshot).</t>
  </si>
  <si>
    <t xml:space="preserve">Currency: Indian rupees (INR). 1 lakh = 100,000. 1 crore = 10,000,000 (100 lakh).</t>
  </si>
  <si>
    <t xml:space="preserve">Simplifications: annual periods; customers ramp linearly within a year (average of start and end); working capital, D&amp;A, interest and loss carry-forward are ignored.</t>
  </si>
  <si>
    <t xml:space="preserve">Cost flexing: in the Conservative and Optimistic scenarios, hiring (engineers, sales, product, admin) scales by the 'Hiring/cost x' factor; founders and fixed costs do not.</t>
  </si>
  <si>
    <t xml:space="preserve">Sources for market context are listed in 07_Market_Research_and_Analysis.md and 08_Competition_Analysis.md in the pitch pack.</t>
  </si>
  <si>
    <t xml:space="preserve">Assumptions (INR)</t>
  </si>
  <si>
    <t xml:space="preserve">Blue = input. Yellow = key lever. Edit blue cells only.</t>
  </si>
  <si>
    <t xml:space="preserve">Active scenario (1=Conservative, 2=Base, 3=Optimistic)</t>
  </si>
  <si>
    <t xml:space="preserve">Scenario table</t>
  </si>
  <si>
    <t xml:space="preserve">Customer volume x</t>
  </si>
  <si>
    <t xml:space="preserve">Price x</t>
  </si>
  <si>
    <t xml:space="preserve">Hiring/cost x</t>
  </si>
  <si>
    <t xml:space="preserve">Conservative</t>
  </si>
  <si>
    <t xml:space="preserve">Base</t>
  </si>
  <si>
    <t xml:space="preserve">Optimistic</t>
  </si>
  <si>
    <t xml:space="preserve">Active customer volume x</t>
  </si>
  <si>
    <t xml:space="preserve">Active price x</t>
  </si>
  <si>
    <t xml:space="preserve">Active hiring/cost x</t>
  </si>
  <si>
    <t xml:space="preserve">Input (base case)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</si>
  <si>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</si>
  <si>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</si>
  <si>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</si>
  <si>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</si>
  <si>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</si>
  <si>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Basis / note</t>
  </si>
  <si>
    <t xml:space="preserve">Calendar year (launch pilots Q4 2026)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</si>
  <si>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</si>
  <si>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</si>
  <si>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</si>
  <si>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</si>
  <si>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</si>
  <si>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Paying institutions at year-end (base case)</t>
  </si>
  <si>
    <t xml:space="preserve">Hypothesis. Y1 = pilot-to-paid conversions. Replace with signed pilots/LOIs.</t>
  </si>
  <si>
    <t xml:space="preserve">Paying startups/SMEs at year-end (base case)</t>
  </si>
  <si>
    <t xml:space="preserve">Hypothesis. DPIIT lists 2.23 lakh recognised startups (31 Mar 2026), so this is a small share.</t>
  </si>
  <si>
    <t xml:space="preserve">Paying corporates at year-end (base case)</t>
  </si>
  <si>
    <t xml:space="preserve">Hypothesis. Seasonal campus-hiring plans.</t>
  </si>
  <si>
    <t xml:space="preserve">Institution annual churn</t>
  </si>
  <si>
    <t xml:space="preserve">Assumption. Measure from pilot renewals.</t>
  </si>
  <si>
    <t xml:space="preserve">Startup/SME annual churn</t>
  </si>
  <si>
    <t xml:space="preserve">Assumption. Hiring is episodic, so churn is high.</t>
  </si>
  <si>
    <t xml:space="preserve">Corporate annual churn</t>
  </si>
  <si>
    <t xml:space="preserve">Assumption.</t>
  </si>
  <si>
    <t xml:space="preserve">Institution ARPU (INR per year, realised)</t>
  </si>
  <si>
    <t xml:space="preserve">Hypothesis ('low lakhs per year' in idea doc). Y1 discounted for pilots.</t>
  </si>
  <si>
    <t xml:space="preserve">Startup/SME ARPU (INR per year)</t>
  </si>
  <si>
    <t xml:space="preserve">Hypothesis: about 3 job packs at INR 15,000.</t>
  </si>
  <si>
    <t xml:space="preserve">Corporate ARPU (INR per year)</t>
  </si>
  <si>
    <t xml:space="preserve">Hypothesis: seasonal campus plan. Y1 discounted.</t>
  </si>
  <si>
    <t xml:space="preserve">Programme CAC per new institution (INR)</t>
  </si>
  <si>
    <t xml:space="preserve">Assumption: travel, demos, pilot support. Excludes salaries (counted in People).</t>
  </si>
  <si>
    <t xml:space="preserve">Programme CAC per new startup/SME (INR)</t>
  </si>
  <si>
    <t xml:space="preserve">Assumption: outreach, content. Idea doc range for recruiter CAC: INR 18-25K (fully loaded).</t>
  </si>
  <si>
    <t xml:space="preserve">Programme CAC per new corporate (INR)</t>
  </si>
  <si>
    <t xml:space="preserve">Active students per paying institution</t>
  </si>
  <si>
    <t xml:space="preserve">Assumption. Pilot cohorts are small in Year 1.</t>
  </si>
  <si>
    <t xml:space="preserve">Project reviews per active student per year</t>
  </si>
  <si>
    <t xml:space="preserve">AI cost per review (INR)</t>
  </si>
  <si>
    <t xml:space="preserve">Assumption. MEASURE in pilot (tokens x provider price).</t>
  </si>
  <si>
    <t xml:space="preserve">Share of reviews needing human check</t>
  </si>
  <si>
    <t xml:space="preserve">Borderline 40-60 plus appeals. Falls as rubric improves.</t>
  </si>
  <si>
    <t xml:space="preserve">Human review cost per review (INR)</t>
  </si>
  <si>
    <t xml:space="preserve">Assumption: about 5-8 minutes of reviewer time.</t>
  </si>
  <si>
    <t xml:space="preserve">Storage and video cost per active student per year (INR)</t>
  </si>
  <si>
    <t xml:space="preserve">Assumption. Videos kept 90 days, then deleted.</t>
  </si>
  <si>
    <t xml:space="preserve">Base infrastructure (INR per year)</t>
  </si>
  <si>
    <t xml:space="preserve">Hosting, database (paid plan), email, domain, monitoring.</t>
  </si>
  <si>
    <t xml:space="preserve">Payment and collection costs (% of revenue)</t>
  </si>
  <si>
    <t xml:space="preserve">Founders (headcount)</t>
  </si>
  <si>
    <t xml:space="preserve">Assumption. Update with real team.</t>
  </si>
  <si>
    <t xml:space="preserve">Cost per founder (INR per year)</t>
  </si>
  <si>
    <t xml:space="preserve">Stipend rising as funding allows.</t>
  </si>
  <si>
    <t xml:space="preserve">Engineers (FTE, base case)</t>
  </si>
  <si>
    <t xml:space="preserve">Cost per engineer (INR per year)</t>
  </si>
  <si>
    <t xml:space="preserve">Sales, partnerships and customer success (FTE, base case)</t>
  </si>
  <si>
    <t xml:space="preserve">Assumption. University relationships are the early moat.</t>
  </si>
  <si>
    <t xml:space="preserve">Cost per sales/CS FTE (INR per year)</t>
  </si>
  <si>
    <t xml:space="preserve">Product and design (FTE, base case)</t>
  </si>
  <si>
    <t xml:space="preserve">Cost per product/design FTE (INR per year)</t>
  </si>
  <si>
    <t xml:space="preserve">Admin, finance and operations (INR per year, base case)</t>
  </si>
  <si>
    <t xml:space="preserve">Legal, compliance and security (INR per year)</t>
  </si>
  <si>
    <t xml:space="preserve">Lawyer review, pen test, audits, insurance. DPDP obligations phase in from May 2027 (verify).</t>
  </si>
  <si>
    <t xml:space="preserve">Other G&amp;A (INR per year)</t>
  </si>
  <si>
    <t xml:space="preserve">Tools, travel, accounting, office.</t>
  </si>
  <si>
    <t xml:space="preserve">Equity funding received (INR)</t>
  </si>
  <si>
    <t xml:space="preserve">PROPOSED ask: INR 3 crore. Illustrative; founders to decide.</t>
  </si>
  <si>
    <t xml:space="preserve">Opening cash before funding (INR)</t>
  </si>
  <si>
    <t xml:space="preserve">Founder capital. Assumption.</t>
  </si>
  <si>
    <t xml:space="preserve">Tax rate on positive EBITDA</t>
  </si>
  <si>
    <t xml:space="preserve">Simplified: no loss carry-forward, no D&amp;A or interest (conservative).</t>
  </si>
  <si>
    <t xml:space="preserve">Customer volumes (formulas)</t>
  </si>
  <si>
    <t xml:space="preserve">Institutions</t>
  </si>
  <si>
    <t xml:space="preserve">  Start of year</t>
  </si>
  <si>
    <t xml:space="preserve">  End of year (scenario-adjusted)</t>
  </si>
  <si>
    <t xml:space="preserve">  Churned during year</t>
  </si>
  <si>
    <t xml:space="preserve">  Gross new customers</t>
  </si>
  <si>
    <t xml:space="preserve">  Average paying customers</t>
  </si>
  <si>
    <t xml:space="preserve">Startups/SMEs</t>
  </si>
  <si>
    <t xml:space="preserve">Corporates</t>
  </si>
  <si>
    <t xml:space="preserve">Usage</t>
  </si>
  <si>
    <t xml:space="preserve">  Active students (end-of-year institutions x students per institution)</t>
  </si>
  <si>
    <t xml:space="preserve">  Project reviews (students x reviews per student)</t>
  </si>
  <si>
    <t xml:space="preserve">  Reviews needing human check</t>
  </si>
  <si>
    <t xml:space="preserve">Profit and loss, cash and runway (INR)</t>
  </si>
  <si>
    <t xml:space="preserve">INR</t>
  </si>
  <si>
    <t xml:space="preserve">Revenue</t>
  </si>
  <si>
    <t xml:space="preserve">Institution licences</t>
  </si>
  <si>
    <t xml:space="preserve">Startup/SME hiring packs</t>
  </si>
  <si>
    <t xml:space="preserve">Corporate seasonal plans</t>
  </si>
  <si>
    <t xml:space="preserve">Total revenue</t>
  </si>
  <si>
    <t xml:space="preserve">Revenue growth (year on year)</t>
  </si>
  <si>
    <t xml:space="preserve">Cost of revenue</t>
  </si>
  <si>
    <t xml:space="preserve">AI review cost</t>
  </si>
  <si>
    <t xml:space="preserve">Human review cost</t>
  </si>
  <si>
    <t xml:space="preserve">Storage and video</t>
  </si>
  <si>
    <t xml:space="preserve">Base infrastructure</t>
  </si>
  <si>
    <t xml:space="preserve">Payment and collection costs</t>
  </si>
  <si>
    <t xml:space="preserve">Total cost of revenue</t>
  </si>
  <si>
    <t xml:space="preserve">Gross profit</t>
  </si>
  <si>
    <t xml:space="preserve">Gross margin</t>
  </si>
  <si>
    <t xml:space="preserve">Operating expenses</t>
  </si>
  <si>
    <t xml:space="preserve">Founders</t>
  </si>
  <si>
    <t xml:space="preserve">Engineers</t>
  </si>
  <si>
    <t xml:space="preserve">Sales, partnerships and customer success</t>
  </si>
  <si>
    <t xml:space="preserve">Product and design</t>
  </si>
  <si>
    <t xml:space="preserve">Admin, finance and operations</t>
  </si>
  <si>
    <t xml:space="preserve">Total people costs</t>
  </si>
  <si>
    <t xml:space="preserve">Sales and marketing programmes (new customers x programme CAC)</t>
  </si>
  <si>
    <t xml:space="preserve">Legal, compliance and security</t>
  </si>
  <si>
    <t xml:space="preserve">Other G&amp;A</t>
  </si>
  <si>
    <t xml:space="preserve">Total operating expenses</t>
  </si>
  <si>
    <t xml:space="preserve">EBITDA</t>
  </si>
  <si>
    <t xml:space="preserve">EBITDA margin</t>
  </si>
  <si>
    <t xml:space="preserve">Tax (simplified)</t>
  </si>
  <si>
    <t xml:space="preserve">Net profit (simplified)</t>
  </si>
  <si>
    <t xml:space="preserve">Cash and runway</t>
  </si>
  <si>
    <t xml:space="preserve">Opening cash</t>
  </si>
  <si>
    <t xml:space="preserve">Equity funding received</t>
  </si>
  <si>
    <t xml:space="preserve">Operating cash flow (= net profit, simplified)</t>
  </si>
  <si>
    <t xml:space="preserve">Closing cash</t>
  </si>
  <si>
    <t xml:space="preserve">Average monthly burn (when EBITDA is negative)</t>
  </si>
  <si>
    <t xml:space="preserve">Runway at start of year (months, if burning)</t>
  </si>
  <si>
    <t xml:space="preserve">EBITDA positive? (1 = yes)</t>
  </si>
  <si>
    <t xml:space="preserve">First EBITDA-positive year</t>
  </si>
  <si>
    <t xml:space="preserve">Lowest closing cash over 5 years</t>
  </si>
  <si>
    <t xml:space="preserve">Check: revenue streams sum to total (should be 0)</t>
  </si>
  <si>
    <t xml:space="preserve">Unit economics (Year 3 values; assumptions flagged)</t>
  </si>
  <si>
    <t xml:space="preserve">Metric</t>
  </si>
  <si>
    <t xml:space="preserve">Institution</t>
  </si>
  <si>
    <t xml:space="preserve">Startup/SME</t>
  </si>
  <si>
    <t xml:space="preserve">Corporate</t>
  </si>
  <si>
    <t xml:space="preserve">Note</t>
  </si>
  <si>
    <t xml:space="preserve">ARPU, INR per year (Year 3)</t>
  </si>
  <si>
    <t xml:space="preserve">From Assumptions, scenario-adjusted.</t>
  </si>
  <si>
    <t xml:space="preserve">Gross margin on this segment</t>
  </si>
  <si>
    <t xml:space="preserve">Assumption. Compare with blended gross margin on PnL.</t>
  </si>
  <si>
    <t xml:space="preserve">Annual churn</t>
  </si>
  <si>
    <t xml:space="preserve">From Assumptions.</t>
  </si>
  <si>
    <t xml:space="preserve">Customer lifetime cap (years)</t>
  </si>
  <si>
    <t xml:space="preserve">Conservative cap on 1 / churn.</t>
  </si>
  <si>
    <t xml:space="preserve">Expected lifetime (years) = MIN(1/churn, cap)</t>
  </si>
  <si>
    <t xml:space="preserve">Lifetime value, INR = ARPU x gross margin x lifetime</t>
  </si>
  <si>
    <t xml:space="preserve">Programme CAC, INR</t>
  </si>
  <si>
    <t xml:space="preserve">Excludes salaries.</t>
  </si>
  <si>
    <t xml:space="preserve">Sales/CS salary cost per new customer (all segments, equal split), INR</t>
  </si>
  <si>
    <t xml:space="preserve">Simplification: equal allocation.</t>
  </si>
  <si>
    <t xml:space="preserve">Fully loaded CAC, INR</t>
  </si>
  <si>
    <t xml:space="preserve">LTV / CAC</t>
  </si>
  <si>
    <t xml:space="preserve">Rule of thumb: 3x or more is healthy. Hypothesis until measured.</t>
  </si>
  <si>
    <t xml:space="preserve">CAC payback (months) = CAC / (ARPU x gross margin / 12)</t>
  </si>
  <si>
    <t xml:space="preserve">Scenario snapshot (static values from this model)</t>
  </si>
  <si>
    <t xml:space="preserve">Static snapshot: re-run by changing the scenario cell on Assumptions. Values in INR lakh (1 lakh = 100,000).</t>
  </si>
  <si>
    <t xml:space="preserve">INR lakh</t>
  </si>
  <si>
    <t xml:space="preserve">Beyond Year 5</t>
  </si>
  <si>
    <t xml:space="preserve">Lowest closing cash (INR lakh)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</si>
</sst>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"/>
    <numFmt numFmtId="167" formatCode="#,##0"/>
    <numFmt numFmtId="168" formatCode="0.0%;\(0.0%\);\-"/>
    <numFmt numFmtId="169" formatCode="#,##0;\(#,##0\);\-"/>
    <numFmt numFmtId="170" formatCode="0.0"/>
    <numFmt numFmtId="171" formatCode="#,##0.0;\(#,##0.0\);\-"/>
    <numFmt numFmtId="172" formatCode="General"/>
    <numFmt numFmtId="173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A613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B7F49"/>
        <bgColor rgb="FF0A6139"/>
      </patternFill>
    </fill>
    <fill>
      <patternFill patternType="solid">
        <fgColor rgb="FFECFA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F49"/>
      <rgbColor rgb="FFC0C0C0"/>
      <rgbColor rgb="FF808080"/>
      <rgbColor rgb="FF9999FF"/>
      <rgbColor rgb="FF993366"/>
      <rgbColor rgb="FFECFA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A6139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5" topLeftCell="B16" activePane="bottomRight" state="frozen"/>
      <selection pane="topLeft" activeCell="A1" activeCellId="0" sqref="A1"/>
      <selection pane="topRight" activeCell="B1" activeCellId="0" sqref="B1"/>
      <selection pane="bottomLeft" activeCell="A16" activeCellId="0" sqref="A1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5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2" t="s">
        <v>11</v>
      </c>
    </row>
    <row r="4" customFormat="false" ht="15" hidden="false" customHeight="false" outlineLevel="0" collapsed="false">
      <c r="A4" s="3" t="s">
        <v>12</v>
      </c>
      <c r="B4" s="4" t="n">
        <v>2</v>
      </c>
    </row>
    <row r="6" customFormat="false" ht="15" hidden="false" customHeight="false" outlineLevel="0" collapsed="false">
      <c r="A6" s="5" t="s">
        <v>13</v>
      </c>
      <c r="B6" s="5" t="s">
        <v>14</v>
      </c>
      <c r="C6" s="5" t="s">
        <v>15</v>
      </c>
      <c r="D6" s="5" t="s">
        <v>16</v>
      </c>
    </row>
    <row r="7" customFormat="false" ht="15" hidden="false" customHeight="false" outlineLevel="0" collapsed="false">
      <c r="A7" s="2" t="s">
        <v>17</v>
      </c>
      <c r="B7" s="6" t="n">
        <v>0.5</v>
      </c>
      <c r="C7" s="6" t="n">
        <v>0.9</v>
      </c>
      <c r="D7" s="6" t="n">
        <v>0.6</v>
      </c>
    </row>
    <row r="8" customFormat="false" ht="15" hidden="false" customHeight="false" outlineLevel="0" collapsed="false">
      <c r="A8" s="2" t="s">
        <v>18</v>
      </c>
      <c r="B8" s="6" t="n">
        <v>1</v>
      </c>
      <c r="C8" s="6" t="n">
        <v>1</v>
      </c>
      <c r="D8" s="6" t="n">
        <v>1</v>
      </c>
    </row>
    <row r="9" customFormat="false" ht="15" hidden="false" customHeight="false" outlineLevel="0" collapsed="false">
      <c r="A9" s="2" t="s">
        <v>19</v>
      </c>
      <c r="B9" s="6" t="n">
        <v>1.4</v>
      </c>
      <c r="C9" s="6" t="n">
        <v>1.1</v>
      </c>
      <c r="D9" s="6" t="n">
        <v>1.2</v>
      </c>
    </row>
    <row r="11" customFormat="false" ht="15" hidden="false" customHeight="false" outlineLevel="0" collapsed="false">
      <c r="A11" s="3" t="s">
        <v>20</v>
      </c>
      <c r="B11" s="7" t="n">
        <f aca="false">INDEX(B7:B9,$B$4)</f>
        <v>1</v>
      </c>
    </row>
    <row r="12" customFormat="false" ht="15" hidden="false" customHeight="false" outlineLevel="0" collapsed="false">
      <c r="A12" s="3" t="s">
        <v>21</v>
      </c>
      <c r="B12" s="7" t="n">
        <f aca="false">INDEX(C7:C9,$B$4)</f>
        <v>1</v>
      </c>
    </row>
    <row r="13" customFormat="false" ht="15" hidden="false" customHeight="false" outlineLevel="0" collapsed="false">
      <c r="A13" s="3" t="s">
        <v>22</v>
      </c>
      <c r="B13" s="7" t="n">
        <f aca="false">INDEX(D7:D9,$B$4)</f>
        <v>1</v>
      </c>
    </row>
    <row r="15" customFormat="false" ht="15" hidden="false" customHeight="false" outlineLevel="0" collapsed="false">
      <c r="A15" s="5" t="s">
        <v>23</v>
      </c>
      <c r="B15" s="5" t="s">
        <v>24</v>
      </c>
      <c r="C15" s="5" t="s">
        <v>25</v>
      </c>
      <c r="D15" s="5" t="s">
        <v>26</v>
      </c>
      <c r="E15" s="5" t="s">
        <v>27</v>
      </c>
      <c r="F15" s="5" t="s">
        <v>28</v>
      </c>
      <c r="G15" s="5" t="s">
        <v>29</v>
      </c>
    </row>
    <row r="16" customFormat="false" ht="15" hidden="false" customHeight="false" outlineLevel="0" collapsed="false">
      <c r="A16" s="2" t="s">
        <v>30</v>
      </c>
      <c r="B16" s="8" t="s">
        <v>31</v>
      </c>
      <c r="C16" s="8" t="s">
        <v>32</v>
      </c>
      <c r="D16" s="8" t="s">
        <v>33</v>
      </c>
      <c r="E16" s="8" t="s">
        <v>34</v>
      </c>
      <c r="F16" s="8" t="s">
        <v>35</v>
      </c>
    </row>
    <row r="17" customFormat="false" ht="15" hidden="false" customHeight="false" outlineLevel="0" collapsed="false">
      <c r="A17" s="2" t="s">
        <v>36</v>
      </c>
      <c r="B17" s="9" t="n">
        <v>4</v>
      </c>
      <c r="C17" s="9" t="n">
        <v>25</v>
      </c>
      <c r="D17" s="9" t="n">
        <v>90</v>
      </c>
      <c r="E17" s="9" t="n">
        <v>200</v>
      </c>
      <c r="F17" s="9" t="n">
        <v>420</v>
      </c>
      <c r="G17" s="2" t="s">
        <v>37</v>
      </c>
    </row>
    <row r="18" customFormat="false" ht="15" hidden="false" customHeight="false" outlineLevel="0" collapsed="false">
      <c r="A18" s="2" t="s">
        <v>38</v>
      </c>
      <c r="B18" s="9" t="n">
        <v>6</v>
      </c>
      <c r="C18" s="9" t="n">
        <v>70</v>
      </c>
      <c r="D18" s="9" t="n">
        <v>260</v>
      </c>
      <c r="E18" s="9" t="n">
        <v>600</v>
      </c>
      <c r="F18" s="9" t="n">
        <v>1200</v>
      </c>
      <c r="G18" s="2" t="s">
        <v>39</v>
      </c>
    </row>
    <row r="19" customFormat="false" ht="15" hidden="false" customHeight="false" outlineLevel="0" collapsed="false">
      <c r="A19" s="2" t="s">
        <v>40</v>
      </c>
      <c r="B19" s="9" t="n">
        <v>1</v>
      </c>
      <c r="C19" s="9" t="n">
        <v>10</v>
      </c>
      <c r="D19" s="9" t="n">
        <v>40</v>
      </c>
      <c r="E19" s="9" t="n">
        <v>100</v>
      </c>
      <c r="F19" s="9" t="n">
        <v>190</v>
      </c>
      <c r="G19" s="2" t="s">
        <v>41</v>
      </c>
    </row>
    <row r="20" customFormat="false" ht="15" hidden="false" customHeight="false" outlineLevel="0" collapsed="false">
      <c r="A20" s="2" t="s">
        <v>42</v>
      </c>
      <c r="B20" s="10" t="n">
        <v>0.1</v>
      </c>
      <c r="C20" s="10" t="n">
        <v>0.1</v>
      </c>
      <c r="D20" s="10" t="n">
        <v>0.1</v>
      </c>
      <c r="E20" s="10" t="n">
        <v>0.1</v>
      </c>
      <c r="F20" s="10" t="n">
        <v>0.1</v>
      </c>
      <c r="G20" s="2" t="s">
        <v>43</v>
      </c>
    </row>
    <row r="21" customFormat="false" ht="15" hidden="false" customHeight="false" outlineLevel="0" collapsed="false">
      <c r="A21" s="2" t="s">
        <v>44</v>
      </c>
      <c r="B21" s="10" t="n">
        <v>0.4</v>
      </c>
      <c r="C21" s="10" t="n">
        <v>0.4</v>
      </c>
      <c r="D21" s="10" t="n">
        <v>0.4</v>
      </c>
      <c r="E21" s="10" t="n">
        <v>0.4</v>
      </c>
      <c r="F21" s="10" t="n">
        <v>0.4</v>
      </c>
      <c r="G21" s="2" t="s">
        <v>45</v>
      </c>
    </row>
    <row r="22" customFormat="false" ht="15" hidden="false" customHeight="false" outlineLevel="0" collapsed="false">
      <c r="A22" s="2" t="s">
        <v>46</v>
      </c>
      <c r="B22" s="10" t="n">
        <v>0.25</v>
      </c>
      <c r="C22" s="10" t="n">
        <v>0.25</v>
      </c>
      <c r="D22" s="10" t="n">
        <v>0.25</v>
      </c>
      <c r="E22" s="10" t="n">
        <v>0.25</v>
      </c>
      <c r="F22" s="10" t="n">
        <v>0.25</v>
      </c>
      <c r="G22" s="2" t="s">
        <v>47</v>
      </c>
    </row>
    <row r="23" customFormat="false" ht="15" hidden="false" customHeight="false" outlineLevel="0" collapsed="false">
      <c r="A23" s="2" t="s">
        <v>48</v>
      </c>
      <c r="B23" s="11" t="n">
        <v>100000</v>
      </c>
      <c r="C23" s="11" t="n">
        <v>150000</v>
      </c>
      <c r="D23" s="11" t="n">
        <v>180000</v>
      </c>
      <c r="E23" s="11" t="n">
        <v>200000</v>
      </c>
      <c r="F23" s="11" t="n">
        <v>220000</v>
      </c>
      <c r="G23" s="2" t="s">
        <v>49</v>
      </c>
    </row>
    <row r="24" customFormat="false" ht="15" hidden="false" customHeight="false" outlineLevel="0" collapsed="false">
      <c r="A24" s="2" t="s">
        <v>50</v>
      </c>
      <c r="B24" s="11" t="n">
        <v>45000</v>
      </c>
      <c r="C24" s="11" t="n">
        <v>45000</v>
      </c>
      <c r="D24" s="11" t="n">
        <v>48000</v>
      </c>
      <c r="E24" s="11" t="n">
        <v>50000</v>
      </c>
      <c r="F24" s="11" t="n">
        <v>55000</v>
      </c>
      <c r="G24" s="2" t="s">
        <v>51</v>
      </c>
    </row>
    <row r="25" customFormat="false" ht="15" hidden="false" customHeight="false" outlineLevel="0" collapsed="false">
      <c r="A25" s="2" t="s">
        <v>52</v>
      </c>
      <c r="B25" s="11" t="n">
        <v>150000</v>
      </c>
      <c r="C25" s="11" t="n">
        <v>300000</v>
      </c>
      <c r="D25" s="11" t="n">
        <v>330000</v>
      </c>
      <c r="E25" s="11" t="n">
        <v>350000</v>
      </c>
      <c r="F25" s="11" t="n">
        <v>400000</v>
      </c>
      <c r="G25" s="2" t="s">
        <v>53</v>
      </c>
    </row>
    <row r="26" customFormat="false" ht="15" hidden="false" customHeight="false" outlineLevel="0" collapsed="false">
      <c r="A26" s="2" t="s">
        <v>54</v>
      </c>
      <c r="B26" s="12" t="n">
        <v>50000</v>
      </c>
      <c r="C26" s="12" t="n">
        <v>50000</v>
      </c>
      <c r="D26" s="12" t="n">
        <v>50000</v>
      </c>
      <c r="E26" s="12" t="n">
        <v>50000</v>
      </c>
      <c r="F26" s="12" t="n">
        <v>50000</v>
      </c>
      <c r="G26" s="2" t="s">
        <v>55</v>
      </c>
    </row>
    <row r="27" customFormat="false" ht="15" hidden="false" customHeight="false" outlineLevel="0" collapsed="false">
      <c r="A27" s="2" t="s">
        <v>56</v>
      </c>
      <c r="B27" s="12" t="n">
        <v>10000</v>
      </c>
      <c r="C27" s="12" t="n">
        <v>10000</v>
      </c>
      <c r="D27" s="12" t="n">
        <v>10000</v>
      </c>
      <c r="E27" s="12" t="n">
        <v>10000</v>
      </c>
      <c r="F27" s="12" t="n">
        <v>10000</v>
      </c>
      <c r="G27" s="2" t="s">
        <v>57</v>
      </c>
    </row>
    <row r="28" customFormat="false" ht="15" hidden="false" customHeight="false" outlineLevel="0" collapsed="false">
      <c r="A28" s="2" t="s">
        <v>58</v>
      </c>
      <c r="B28" s="12" t="n">
        <v>50000</v>
      </c>
      <c r="C28" s="12" t="n">
        <v>50000</v>
      </c>
      <c r="D28" s="12" t="n">
        <v>50000</v>
      </c>
      <c r="E28" s="12" t="n">
        <v>50000</v>
      </c>
      <c r="F28" s="12" t="n">
        <v>50000</v>
      </c>
      <c r="G28" s="2" t="s">
        <v>47</v>
      </c>
    </row>
    <row r="29" customFormat="false" ht="15" hidden="false" customHeight="false" outlineLevel="0" collapsed="false">
      <c r="A29" s="2" t="s">
        <v>59</v>
      </c>
      <c r="B29" s="13" t="n">
        <v>375</v>
      </c>
      <c r="C29" s="13" t="n">
        <v>600</v>
      </c>
      <c r="D29" s="13" t="n">
        <v>700</v>
      </c>
      <c r="E29" s="13" t="n">
        <v>700</v>
      </c>
      <c r="F29" s="13" t="n">
        <v>700</v>
      </c>
      <c r="G29" s="2" t="s">
        <v>60</v>
      </c>
    </row>
    <row r="30" customFormat="false" ht="15" hidden="false" customHeight="false" outlineLevel="0" collapsed="false">
      <c r="A30" s="2" t="s">
        <v>61</v>
      </c>
      <c r="B30" s="14" t="n">
        <v>2</v>
      </c>
      <c r="C30" s="14" t="n">
        <v>2.5</v>
      </c>
      <c r="D30" s="14" t="n">
        <v>3</v>
      </c>
      <c r="E30" s="14" t="n">
        <v>3</v>
      </c>
      <c r="F30" s="14" t="n">
        <v>3</v>
      </c>
      <c r="G30" s="2" t="s">
        <v>47</v>
      </c>
    </row>
    <row r="31" customFormat="false" ht="15" hidden="false" customHeight="false" outlineLevel="0" collapsed="false">
      <c r="A31" s="2" t="s">
        <v>62</v>
      </c>
      <c r="B31" s="14" t="n">
        <v>12</v>
      </c>
      <c r="C31" s="14" t="n">
        <v>8</v>
      </c>
      <c r="D31" s="14" t="n">
        <v>6</v>
      </c>
      <c r="E31" s="14" t="n">
        <v>5</v>
      </c>
      <c r="F31" s="14" t="n">
        <v>4.5</v>
      </c>
      <c r="G31" s="2" t="s">
        <v>63</v>
      </c>
    </row>
    <row r="32" customFormat="false" ht="15" hidden="false" customHeight="false" outlineLevel="0" collapsed="false">
      <c r="A32" s="2" t="s">
        <v>64</v>
      </c>
      <c r="B32" s="10" t="n">
        <v>0.15</v>
      </c>
      <c r="C32" s="10" t="n">
        <v>0.15</v>
      </c>
      <c r="D32" s="10" t="n">
        <v>0.12</v>
      </c>
      <c r="E32" s="10" t="n">
        <v>0.1</v>
      </c>
      <c r="F32" s="10" t="n">
        <v>0.08</v>
      </c>
      <c r="G32" s="2" t="s">
        <v>65</v>
      </c>
    </row>
    <row r="33" customFormat="false" ht="15" hidden="false" customHeight="false" outlineLevel="0" collapsed="false">
      <c r="A33" s="2" t="s">
        <v>66</v>
      </c>
      <c r="B33" s="14" t="n">
        <v>60</v>
      </c>
      <c r="C33" s="14" t="n">
        <v>60</v>
      </c>
      <c r="D33" s="14" t="n">
        <v>50</v>
      </c>
      <c r="E33" s="14" t="n">
        <v>50</v>
      </c>
      <c r="F33" s="14" t="n">
        <v>50</v>
      </c>
      <c r="G33" s="2" t="s">
        <v>67</v>
      </c>
    </row>
    <row r="34" customFormat="false" ht="15" hidden="false" customHeight="false" outlineLevel="0" collapsed="false">
      <c r="A34" s="2" t="s">
        <v>68</v>
      </c>
      <c r="B34" s="14" t="n">
        <v>30</v>
      </c>
      <c r="C34" s="14" t="n">
        <v>30</v>
      </c>
      <c r="D34" s="14" t="n">
        <v>30</v>
      </c>
      <c r="E34" s="14" t="n">
        <v>25</v>
      </c>
      <c r="F34" s="14" t="n">
        <v>20</v>
      </c>
      <c r="G34" s="2" t="s">
        <v>69</v>
      </c>
    </row>
    <row r="35" customFormat="false" ht="15" hidden="false" customHeight="false" outlineLevel="0" collapsed="false">
      <c r="A35" s="2" t="s">
        <v>70</v>
      </c>
      <c r="B35" s="12" t="n">
        <v>150000</v>
      </c>
      <c r="C35" s="12" t="n">
        <v>300000</v>
      </c>
      <c r="D35" s="12" t="n">
        <v>800000</v>
      </c>
      <c r="E35" s="12" t="n">
        <v>1500000</v>
      </c>
      <c r="F35" s="12" t="n">
        <v>2500000</v>
      </c>
      <c r="G35" s="2" t="s">
        <v>71</v>
      </c>
    </row>
    <row r="36" customFormat="false" ht="15" hidden="false" customHeight="false" outlineLevel="0" collapsed="false">
      <c r="A36" s="2" t="s">
        <v>72</v>
      </c>
      <c r="B36" s="10" t="n">
        <v>0.02</v>
      </c>
      <c r="C36" s="10" t="n">
        <v>0.02</v>
      </c>
      <c r="D36" s="10" t="n">
        <v>0.02</v>
      </c>
      <c r="E36" s="10" t="n">
        <v>0.02</v>
      </c>
      <c r="F36" s="10" t="n">
        <v>0.02</v>
      </c>
      <c r="G36" s="2" t="s">
        <v>47</v>
      </c>
    </row>
    <row r="37" customFormat="false" ht="15" hidden="false" customHeight="false" outlineLevel="0" collapsed="false">
      <c r="A37" s="2" t="s">
        <v>73</v>
      </c>
      <c r="B37" s="14" t="n">
        <v>2</v>
      </c>
      <c r="C37" s="14" t="n">
        <v>2</v>
      </c>
      <c r="D37" s="14" t="n">
        <v>2</v>
      </c>
      <c r="E37" s="14" t="n">
        <v>2</v>
      </c>
      <c r="F37" s="14" t="n">
        <v>2</v>
      </c>
      <c r="G37" s="2" t="s">
        <v>74</v>
      </c>
    </row>
    <row r="38" customFormat="false" ht="15" hidden="false" customHeight="false" outlineLevel="0" collapsed="false">
      <c r="A38" s="2" t="s">
        <v>75</v>
      </c>
      <c r="B38" s="12" t="n">
        <v>360000</v>
      </c>
      <c r="C38" s="12" t="n">
        <v>960000</v>
      </c>
      <c r="D38" s="12" t="n">
        <v>1440000</v>
      </c>
      <c r="E38" s="12" t="n">
        <v>1800000</v>
      </c>
      <c r="F38" s="12" t="n">
        <v>2400000</v>
      </c>
      <c r="G38" s="2" t="s">
        <v>76</v>
      </c>
    </row>
    <row r="39" customFormat="false" ht="15" hidden="false" customHeight="false" outlineLevel="0" collapsed="false">
      <c r="A39" s="2" t="s">
        <v>77</v>
      </c>
      <c r="B39" s="14" t="n">
        <v>1.5</v>
      </c>
      <c r="C39" s="14" t="n">
        <v>4</v>
      </c>
      <c r="D39" s="14" t="n">
        <v>8</v>
      </c>
      <c r="E39" s="14" t="n">
        <v>15</v>
      </c>
      <c r="F39" s="14" t="n">
        <v>26</v>
      </c>
      <c r="G39" s="2" t="s">
        <v>47</v>
      </c>
    </row>
    <row r="40" customFormat="false" ht="15" hidden="false" customHeight="false" outlineLevel="0" collapsed="false">
      <c r="A40" s="2" t="s">
        <v>78</v>
      </c>
      <c r="B40" s="12" t="n">
        <v>800000</v>
      </c>
      <c r="C40" s="12" t="n">
        <v>900000</v>
      </c>
      <c r="D40" s="12" t="n">
        <v>1000000</v>
      </c>
      <c r="E40" s="12" t="n">
        <v>1100000</v>
      </c>
      <c r="F40" s="12" t="n">
        <v>1200000</v>
      </c>
      <c r="G40" s="2" t="s">
        <v>47</v>
      </c>
    </row>
    <row r="41" customFormat="false" ht="15" hidden="false" customHeight="false" outlineLevel="0" collapsed="false">
      <c r="A41" s="2" t="s">
        <v>79</v>
      </c>
      <c r="B41" s="14" t="n">
        <v>1</v>
      </c>
      <c r="C41" s="14" t="n">
        <v>4</v>
      </c>
      <c r="D41" s="14" t="n">
        <v>10</v>
      </c>
      <c r="E41" s="14" t="n">
        <v>19</v>
      </c>
      <c r="F41" s="14" t="n">
        <v>34</v>
      </c>
      <c r="G41" s="2" t="s">
        <v>80</v>
      </c>
    </row>
    <row r="42" customFormat="false" ht="15" hidden="false" customHeight="false" outlineLevel="0" collapsed="false">
      <c r="A42" s="2" t="s">
        <v>81</v>
      </c>
      <c r="B42" s="12" t="n">
        <v>500000</v>
      </c>
      <c r="C42" s="12" t="n">
        <v>600000</v>
      </c>
      <c r="D42" s="12" t="n">
        <v>700000</v>
      </c>
      <c r="E42" s="12" t="n">
        <v>750000</v>
      </c>
      <c r="F42" s="12" t="n">
        <v>800000</v>
      </c>
      <c r="G42" s="2" t="s">
        <v>47</v>
      </c>
    </row>
    <row r="43" customFormat="false" ht="15" hidden="false" customHeight="false" outlineLevel="0" collapsed="false">
      <c r="A43" s="2" t="s">
        <v>82</v>
      </c>
      <c r="B43" s="14" t="n">
        <v>0.5</v>
      </c>
      <c r="C43" s="14" t="n">
        <v>1</v>
      </c>
      <c r="D43" s="14" t="n">
        <v>2</v>
      </c>
      <c r="E43" s="14" t="n">
        <v>3.5</v>
      </c>
      <c r="F43" s="14" t="n">
        <v>6</v>
      </c>
      <c r="G43" s="2" t="s">
        <v>47</v>
      </c>
    </row>
    <row r="44" customFormat="false" ht="15" hidden="false" customHeight="false" outlineLevel="0" collapsed="false">
      <c r="A44" s="2" t="s">
        <v>83</v>
      </c>
      <c r="B44" s="12" t="n">
        <v>600000</v>
      </c>
      <c r="C44" s="12" t="n">
        <v>700000</v>
      </c>
      <c r="D44" s="12" t="n">
        <v>800000</v>
      </c>
      <c r="E44" s="12" t="n">
        <v>900000</v>
      </c>
      <c r="F44" s="12" t="n">
        <v>1000000</v>
      </c>
      <c r="G44" s="2" t="s">
        <v>47</v>
      </c>
    </row>
    <row r="45" customFormat="false" ht="15" hidden="false" customHeight="false" outlineLevel="0" collapsed="false">
      <c r="A45" s="2" t="s">
        <v>84</v>
      </c>
      <c r="B45" s="12" t="n">
        <v>200000</v>
      </c>
      <c r="C45" s="12" t="n">
        <v>600000</v>
      </c>
      <c r="D45" s="12" t="n">
        <v>1500000</v>
      </c>
      <c r="E45" s="12" t="n">
        <v>2800000</v>
      </c>
      <c r="F45" s="12" t="n">
        <v>4800000</v>
      </c>
      <c r="G45" s="2" t="s">
        <v>47</v>
      </c>
    </row>
    <row r="46" customFormat="false" ht="15" hidden="false" customHeight="false" outlineLevel="0" collapsed="false">
      <c r="A46" s="2" t="s">
        <v>85</v>
      </c>
      <c r="B46" s="12" t="n">
        <v>400000</v>
      </c>
      <c r="C46" s="12" t="n">
        <v>800000</v>
      </c>
      <c r="D46" s="12" t="n">
        <v>1500000</v>
      </c>
      <c r="E46" s="12" t="n">
        <v>2500000</v>
      </c>
      <c r="F46" s="12" t="n">
        <v>4000000</v>
      </c>
      <c r="G46" s="2" t="s">
        <v>86</v>
      </c>
    </row>
    <row r="47" customFormat="false" ht="15" hidden="false" customHeight="false" outlineLevel="0" collapsed="false">
      <c r="A47" s="2" t="s">
        <v>87</v>
      </c>
      <c r="B47" s="12" t="n">
        <v>300000</v>
      </c>
      <c r="C47" s="12" t="n">
        <v>800000</v>
      </c>
      <c r="D47" s="12" t="n">
        <v>1800000</v>
      </c>
      <c r="E47" s="12" t="n">
        <v>3000000</v>
      </c>
      <c r="F47" s="12" t="n">
        <v>5500000</v>
      </c>
      <c r="G47" s="2" t="s">
        <v>88</v>
      </c>
    </row>
    <row r="48" customFormat="false" ht="15" hidden="false" customHeight="false" outlineLevel="0" collapsed="false">
      <c r="A48" s="2" t="s">
        <v>89</v>
      </c>
      <c r="B48" s="11" t="n">
        <v>30000000</v>
      </c>
      <c r="C48" s="11" t="n">
        <v>0</v>
      </c>
      <c r="D48" s="11" t="n">
        <v>0</v>
      </c>
      <c r="E48" s="11" t="n">
        <v>0</v>
      </c>
      <c r="F48" s="11" t="n">
        <v>0</v>
      </c>
      <c r="G48" s="2" t="s">
        <v>90</v>
      </c>
    </row>
    <row r="50" customFormat="false" ht="15" hidden="false" customHeight="false" outlineLevel="0" collapsed="false">
      <c r="A50" s="2" t="s">
        <v>91</v>
      </c>
      <c r="B50" s="12" t="n">
        <v>500000</v>
      </c>
      <c r="G50" s="2" t="s">
        <v>92</v>
      </c>
    </row>
    <row r="51" customFormat="false" ht="15" hidden="false" customHeight="false" outlineLevel="0" collapsed="false">
      <c r="A51" s="2" t="s">
        <v>93</v>
      </c>
      <c r="B51" s="10" t="n">
        <v>0.25</v>
      </c>
      <c r="G51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95</v>
      </c>
    </row>
    <row r="3" customFormat="false" ht="15" hidden="false" customHeight="false" outlineLevel="0" collapsed="false">
      <c r="A3" s="5"/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15" hidden="false" customHeight="false" outlineLevel="0" collapsed="false">
      <c r="A4" s="15" t="s">
        <v>96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2" t="s">
        <v>97</v>
      </c>
      <c r="B5" s="17" t="n">
        <v>0</v>
      </c>
      <c r="C5" s="17" t="n">
        <f aca="false">B6</f>
        <v>4</v>
      </c>
      <c r="D5" s="17" t="n">
        <f aca="false">C6</f>
        <v>25</v>
      </c>
      <c r="E5" s="17" t="n">
        <f aca="false">D6</f>
        <v>90</v>
      </c>
      <c r="F5" s="17" t="n">
        <f aca="false">E6</f>
        <v>200</v>
      </c>
    </row>
    <row r="6" customFormat="false" ht="15" hidden="false" customHeight="false" outlineLevel="0" collapsed="false">
      <c r="A6" s="2" t="s">
        <v>98</v>
      </c>
      <c r="B6" s="18" t="n">
        <f aca="false">ROUND(Assumptions!B17*Assumptions!$B$11,0)</f>
        <v>4</v>
      </c>
      <c r="C6" s="18" t="n">
        <f aca="false">ROUND(Assumptions!C17*Assumptions!$B$11,0)</f>
        <v>25</v>
      </c>
      <c r="D6" s="18" t="n">
        <f aca="false">ROUND(Assumptions!D17*Assumptions!$B$11,0)</f>
        <v>90</v>
      </c>
      <c r="E6" s="18" t="n">
        <f aca="false">ROUND(Assumptions!E17*Assumptions!$B$11,0)</f>
        <v>200</v>
      </c>
      <c r="F6" s="18" t="n">
        <f aca="false">ROUND(Assumptions!F17*Assumptions!$B$11,0)</f>
        <v>420</v>
      </c>
    </row>
    <row r="7" customFormat="false" ht="15" hidden="false" customHeight="false" outlineLevel="0" collapsed="false">
      <c r="A7" s="2" t="s">
        <v>99</v>
      </c>
      <c r="B7" s="18" t="n">
        <f aca="false">ROUND(B5*Assumptions!B20,0)</f>
        <v>0</v>
      </c>
      <c r="C7" s="18" t="n">
        <f aca="false">ROUND(C5*Assumptions!C20,0)</f>
        <v>0</v>
      </c>
      <c r="D7" s="18" t="n">
        <f aca="false">ROUND(D5*Assumptions!D20,0)</f>
        <v>3</v>
      </c>
      <c r="E7" s="18" t="n">
        <f aca="false">ROUND(E5*Assumptions!E20,0)</f>
        <v>9</v>
      </c>
      <c r="F7" s="18" t="n">
        <f aca="false">ROUND(F5*Assumptions!F20,0)</f>
        <v>20</v>
      </c>
    </row>
    <row r="8" customFormat="false" ht="15" hidden="false" customHeight="false" outlineLevel="0" collapsed="false">
      <c r="A8" s="2" t="s">
        <v>100</v>
      </c>
      <c r="B8" s="17" t="n">
        <f aca="false">MAX(0,B6-B5+B7)</f>
        <v>4</v>
      </c>
      <c r="C8" s="17" t="n">
        <f aca="false">MAX(0,C6-C5+C7)</f>
        <v>21</v>
      </c>
      <c r="D8" s="17" t="n">
        <f aca="false">MAX(0,D6-D5+D7)</f>
        <v>68</v>
      </c>
      <c r="E8" s="17" t="n">
        <f aca="false">MAX(0,E6-E5+E7)</f>
        <v>119</v>
      </c>
      <c r="F8" s="17" t="n">
        <f aca="false">MAX(0,F6-F5+F7)</f>
        <v>240</v>
      </c>
    </row>
    <row r="9" customFormat="false" ht="15" hidden="false" customHeight="false" outlineLevel="0" collapsed="false">
      <c r="A9" s="2" t="s">
        <v>101</v>
      </c>
      <c r="B9" s="19" t="n">
        <f aca="false">(B5+B6)/2</f>
        <v>2</v>
      </c>
      <c r="C9" s="19" t="n">
        <f aca="false">(C5+C6)/2</f>
        <v>14.5</v>
      </c>
      <c r="D9" s="19" t="n">
        <f aca="false">(D5+D6)/2</f>
        <v>57.5</v>
      </c>
      <c r="E9" s="19" t="n">
        <f aca="false">(E5+E6)/2</f>
        <v>145</v>
      </c>
      <c r="F9" s="19" t="n">
        <f aca="false">(F5+F6)/2</f>
        <v>310</v>
      </c>
    </row>
    <row r="11" customFormat="false" ht="15" hidden="false" customHeight="false" outlineLevel="0" collapsed="false">
      <c r="A11" s="15" t="s">
        <v>102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2" t="s">
        <v>97</v>
      </c>
      <c r="B12" s="17" t="n">
        <v>0</v>
      </c>
      <c r="C12" s="17" t="n">
        <f aca="false">B13</f>
        <v>6</v>
      </c>
      <c r="D12" s="17" t="n">
        <f aca="false">C13</f>
        <v>70</v>
      </c>
      <c r="E12" s="17" t="n">
        <f aca="false">D13</f>
        <v>260</v>
      </c>
      <c r="F12" s="17" t="n">
        <f aca="false">E13</f>
        <v>600</v>
      </c>
    </row>
    <row r="13" customFormat="false" ht="15" hidden="false" customHeight="false" outlineLevel="0" collapsed="false">
      <c r="A13" s="2" t="s">
        <v>98</v>
      </c>
      <c r="B13" s="18" t="n">
        <f aca="false">ROUND(Assumptions!B18*Assumptions!$B$11,0)</f>
        <v>6</v>
      </c>
      <c r="C13" s="18" t="n">
        <f aca="false">ROUND(Assumptions!C18*Assumptions!$B$11,0)</f>
        <v>70</v>
      </c>
      <c r="D13" s="18" t="n">
        <f aca="false">ROUND(Assumptions!D18*Assumptions!$B$11,0)</f>
        <v>260</v>
      </c>
      <c r="E13" s="18" t="n">
        <f aca="false">ROUND(Assumptions!E18*Assumptions!$B$11,0)</f>
        <v>600</v>
      </c>
      <c r="F13" s="18" t="n">
        <f aca="false">ROUND(Assumptions!F18*Assumptions!$B$11,0)</f>
        <v>1200</v>
      </c>
    </row>
    <row r="14" customFormat="false" ht="15" hidden="false" customHeight="false" outlineLevel="0" collapsed="false">
      <c r="A14" s="2" t="s">
        <v>99</v>
      </c>
      <c r="B14" s="18" t="n">
        <f aca="false">ROUND(B12*Assumptions!B21,0)</f>
        <v>0</v>
      </c>
      <c r="C14" s="18" t="n">
        <f aca="false">ROUND(C12*Assumptions!C21,0)</f>
        <v>2</v>
      </c>
      <c r="D14" s="18" t="n">
        <f aca="false">ROUND(D12*Assumptions!D21,0)</f>
        <v>28</v>
      </c>
      <c r="E14" s="18" t="n">
        <f aca="false">ROUND(E12*Assumptions!E21,0)</f>
        <v>104</v>
      </c>
      <c r="F14" s="18" t="n">
        <f aca="false">ROUND(F12*Assumptions!F21,0)</f>
        <v>240</v>
      </c>
    </row>
    <row r="15" customFormat="false" ht="15" hidden="false" customHeight="false" outlineLevel="0" collapsed="false">
      <c r="A15" s="2" t="s">
        <v>100</v>
      </c>
      <c r="B15" s="17" t="n">
        <f aca="false">MAX(0,B13-B12+B14)</f>
        <v>6</v>
      </c>
      <c r="C15" s="17" t="n">
        <f aca="false">MAX(0,C13-C12+C14)</f>
        <v>66</v>
      </c>
      <c r="D15" s="17" t="n">
        <f aca="false">MAX(0,D13-D12+D14)</f>
        <v>218</v>
      </c>
      <c r="E15" s="17" t="n">
        <f aca="false">MAX(0,E13-E12+E14)</f>
        <v>444</v>
      </c>
      <c r="F15" s="17" t="n">
        <f aca="false">MAX(0,F13-F12+F14)</f>
        <v>840</v>
      </c>
    </row>
    <row r="16" customFormat="false" ht="15" hidden="false" customHeight="false" outlineLevel="0" collapsed="false">
      <c r="A16" s="2" t="s">
        <v>101</v>
      </c>
      <c r="B16" s="19" t="n">
        <f aca="false">(B12+B13)/2</f>
        <v>3</v>
      </c>
      <c r="C16" s="19" t="n">
        <f aca="false">(C12+C13)/2</f>
        <v>38</v>
      </c>
      <c r="D16" s="19" t="n">
        <f aca="false">(D12+D13)/2</f>
        <v>165</v>
      </c>
      <c r="E16" s="19" t="n">
        <f aca="false">(E12+E13)/2</f>
        <v>430</v>
      </c>
      <c r="F16" s="19" t="n">
        <f aca="false">(F12+F13)/2</f>
        <v>900</v>
      </c>
    </row>
    <row r="18" customFormat="false" ht="15" hidden="false" customHeight="false" outlineLevel="0" collapsed="false">
      <c r="A18" s="15" t="s">
        <v>103</v>
      </c>
      <c r="B18" s="16"/>
      <c r="C18" s="16"/>
      <c r="D18" s="16"/>
      <c r="E18" s="16"/>
      <c r="F18" s="16"/>
    </row>
    <row r="19" customFormat="false" ht="15" hidden="false" customHeight="false" outlineLevel="0" collapsed="false">
      <c r="A19" s="2" t="s">
        <v>97</v>
      </c>
      <c r="B19" s="17" t="n">
        <v>0</v>
      </c>
      <c r="C19" s="17" t="n">
        <f aca="false">B20</f>
        <v>1</v>
      </c>
      <c r="D19" s="17" t="n">
        <f aca="false">C20</f>
        <v>10</v>
      </c>
      <c r="E19" s="17" t="n">
        <f aca="false">D20</f>
        <v>40</v>
      </c>
      <c r="F19" s="17" t="n">
        <f aca="false">E20</f>
        <v>100</v>
      </c>
    </row>
    <row r="20" customFormat="false" ht="15" hidden="false" customHeight="false" outlineLevel="0" collapsed="false">
      <c r="A20" s="2" t="s">
        <v>98</v>
      </c>
      <c r="B20" s="18" t="n">
        <f aca="false">ROUND(Assumptions!B19*Assumptions!$B$11,0)</f>
        <v>1</v>
      </c>
      <c r="C20" s="18" t="n">
        <f aca="false">ROUND(Assumptions!C19*Assumptions!$B$11,0)</f>
        <v>10</v>
      </c>
      <c r="D20" s="18" t="n">
        <f aca="false">ROUND(Assumptions!D19*Assumptions!$B$11,0)</f>
        <v>40</v>
      </c>
      <c r="E20" s="18" t="n">
        <f aca="false">ROUND(Assumptions!E19*Assumptions!$B$11,0)</f>
        <v>100</v>
      </c>
      <c r="F20" s="18" t="n">
        <f aca="false">ROUND(Assumptions!F19*Assumptions!$B$11,0)</f>
        <v>190</v>
      </c>
    </row>
    <row r="21" customFormat="false" ht="15" hidden="false" customHeight="false" outlineLevel="0" collapsed="false">
      <c r="A21" s="2" t="s">
        <v>99</v>
      </c>
      <c r="B21" s="18" t="n">
        <f aca="false">ROUND(B19*Assumptions!B22,0)</f>
        <v>0</v>
      </c>
      <c r="C21" s="18" t="n">
        <f aca="false">ROUND(C19*Assumptions!C22,0)</f>
        <v>0</v>
      </c>
      <c r="D21" s="18" t="n">
        <f aca="false">ROUND(D19*Assumptions!D22,0)</f>
        <v>3</v>
      </c>
      <c r="E21" s="18" t="n">
        <f aca="false">ROUND(E19*Assumptions!E22,0)</f>
        <v>10</v>
      </c>
      <c r="F21" s="18" t="n">
        <f aca="false">ROUND(F19*Assumptions!F22,0)</f>
        <v>25</v>
      </c>
    </row>
    <row r="22" customFormat="false" ht="15" hidden="false" customHeight="false" outlineLevel="0" collapsed="false">
      <c r="A22" s="2" t="s">
        <v>100</v>
      </c>
      <c r="B22" s="17" t="n">
        <f aca="false">MAX(0,B20-B19+B21)</f>
        <v>1</v>
      </c>
      <c r="C22" s="17" t="n">
        <f aca="false">MAX(0,C20-C19+C21)</f>
        <v>9</v>
      </c>
      <c r="D22" s="17" t="n">
        <f aca="false">MAX(0,D20-D19+D21)</f>
        <v>33</v>
      </c>
      <c r="E22" s="17" t="n">
        <f aca="false">MAX(0,E20-E19+E21)</f>
        <v>70</v>
      </c>
      <c r="F22" s="17" t="n">
        <f aca="false">MAX(0,F20-F19+F21)</f>
        <v>115</v>
      </c>
    </row>
    <row r="23" customFormat="false" ht="15" hidden="false" customHeight="false" outlineLevel="0" collapsed="false">
      <c r="A23" s="2" t="s">
        <v>101</v>
      </c>
      <c r="B23" s="19" t="n">
        <f aca="false">(B19+B20)/2</f>
        <v>0.5</v>
      </c>
      <c r="C23" s="19" t="n">
        <f aca="false">(C19+C20)/2</f>
        <v>5.5</v>
      </c>
      <c r="D23" s="19" t="n">
        <f aca="false">(D19+D20)/2</f>
        <v>25</v>
      </c>
      <c r="E23" s="19" t="n">
        <f aca="false">(E19+E20)/2</f>
        <v>70</v>
      </c>
      <c r="F23" s="19" t="n">
        <f aca="false">(F19+F20)/2</f>
        <v>145</v>
      </c>
    </row>
    <row r="25" customFormat="false" ht="15" hidden="false" customHeight="false" outlineLevel="0" collapsed="false">
      <c r="A25" s="15" t="s">
        <v>104</v>
      </c>
      <c r="B25" s="16"/>
      <c r="C25" s="16"/>
      <c r="D25" s="16"/>
      <c r="E25" s="16"/>
      <c r="F25" s="16"/>
    </row>
    <row r="26" customFormat="false" ht="15" hidden="false" customHeight="false" outlineLevel="0" collapsed="false">
      <c r="A26" s="2" t="s">
        <v>105</v>
      </c>
      <c r="B26" s="18" t="n">
        <f aca="false">B6*Assumptions!B29</f>
        <v>1500</v>
      </c>
      <c r="C26" s="18" t="n">
        <f aca="false">C6*Assumptions!C29</f>
        <v>15000</v>
      </c>
      <c r="D26" s="18" t="n">
        <f aca="false">D6*Assumptions!D29</f>
        <v>63000</v>
      </c>
      <c r="E26" s="18" t="n">
        <f aca="false">E6*Assumptions!E29</f>
        <v>140000</v>
      </c>
      <c r="F26" s="18" t="n">
        <f aca="false">F6*Assumptions!F29</f>
        <v>294000</v>
      </c>
    </row>
    <row r="27" customFormat="false" ht="15" hidden="false" customHeight="false" outlineLevel="0" collapsed="false">
      <c r="A27" s="2" t="s">
        <v>106</v>
      </c>
      <c r="B27" s="18" t="n">
        <f aca="false">B26*Assumptions!B30</f>
        <v>3000</v>
      </c>
      <c r="C27" s="18" t="n">
        <f aca="false">C26*Assumptions!C30</f>
        <v>37500</v>
      </c>
      <c r="D27" s="18" t="n">
        <f aca="false">D26*Assumptions!D30</f>
        <v>189000</v>
      </c>
      <c r="E27" s="18" t="n">
        <f aca="false">E26*Assumptions!E30</f>
        <v>420000</v>
      </c>
      <c r="F27" s="18" t="n">
        <f aca="false">F26*Assumptions!F30</f>
        <v>882000</v>
      </c>
    </row>
    <row r="28" customFormat="false" ht="15" hidden="false" customHeight="false" outlineLevel="0" collapsed="false">
      <c r="A28" s="2" t="s">
        <v>107</v>
      </c>
      <c r="B28" s="18" t="n">
        <f aca="false">B27*Assumptions!B32</f>
        <v>450</v>
      </c>
      <c r="C28" s="18" t="n">
        <f aca="false">C27*Assumptions!C32</f>
        <v>5625</v>
      </c>
      <c r="D28" s="18" t="n">
        <f aca="false">D27*Assumptions!D32</f>
        <v>22680</v>
      </c>
      <c r="E28" s="18" t="n">
        <f aca="false">E27*Assumptions!E32</f>
        <v>42000</v>
      </c>
      <c r="F28" s="18" t="n">
        <f aca="false">F27*Assumptions!F32</f>
        <v>70560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5" t="s">
        <v>109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</row>
    <row r="4" customFormat="false" ht="15" hidden="false" customHeight="false" outlineLevel="0" collapsed="false">
      <c r="A4" s="15" t="s">
        <v>110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2" t="s">
        <v>111</v>
      </c>
      <c r="B5" s="18" t="n">
        <f aca="false">Customers!B9*Assumptions!B23*Assumptions!$B$12</f>
        <v>200000</v>
      </c>
      <c r="C5" s="18" t="n">
        <f aca="false">Customers!C9*Assumptions!C23*Assumptions!$B$12</f>
        <v>2175000</v>
      </c>
      <c r="D5" s="18" t="n">
        <f aca="false">Customers!D9*Assumptions!D23*Assumptions!$B$12</f>
        <v>10350000</v>
      </c>
      <c r="E5" s="18" t="n">
        <f aca="false">Customers!E9*Assumptions!E23*Assumptions!$B$12</f>
        <v>29000000</v>
      </c>
      <c r="F5" s="18" t="n">
        <f aca="false">Customers!F9*Assumptions!F23*Assumptions!$B$12</f>
        <v>68200000</v>
      </c>
    </row>
    <row r="6" customFormat="false" ht="15" hidden="false" customHeight="false" outlineLevel="0" collapsed="false">
      <c r="A6" s="2" t="s">
        <v>112</v>
      </c>
      <c r="B6" s="18" t="n">
        <f aca="false">Customers!B16*Assumptions!B24*Assumptions!$B$12</f>
        <v>135000</v>
      </c>
      <c r="C6" s="18" t="n">
        <f aca="false">Customers!C16*Assumptions!C24*Assumptions!$B$12</f>
        <v>1710000</v>
      </c>
      <c r="D6" s="18" t="n">
        <f aca="false">Customers!D16*Assumptions!D24*Assumptions!$B$12</f>
        <v>7920000</v>
      </c>
      <c r="E6" s="18" t="n">
        <f aca="false">Customers!E16*Assumptions!E24*Assumptions!$B$12</f>
        <v>21500000</v>
      </c>
      <c r="F6" s="18" t="n">
        <f aca="false">Customers!F16*Assumptions!F24*Assumptions!$B$12</f>
        <v>49500000</v>
      </c>
    </row>
    <row r="7" customFormat="false" ht="15" hidden="false" customHeight="false" outlineLevel="0" collapsed="false">
      <c r="A7" s="2" t="s">
        <v>113</v>
      </c>
      <c r="B7" s="18" t="n">
        <f aca="false">Customers!B23*Assumptions!B25*Assumptions!$B$12</f>
        <v>75000</v>
      </c>
      <c r="C7" s="18" t="n">
        <f aca="false">Customers!C23*Assumptions!C25*Assumptions!$B$12</f>
        <v>1650000</v>
      </c>
      <c r="D7" s="18" t="n">
        <f aca="false">Customers!D23*Assumptions!D25*Assumptions!$B$12</f>
        <v>8250000</v>
      </c>
      <c r="E7" s="18" t="n">
        <f aca="false">Customers!E23*Assumptions!E25*Assumptions!$B$12</f>
        <v>24500000</v>
      </c>
      <c r="F7" s="18" t="n">
        <f aca="false">Customers!F23*Assumptions!F25*Assumptions!$B$12</f>
        <v>58000000</v>
      </c>
    </row>
    <row r="8" customFormat="false" ht="15" hidden="false" customHeight="false" outlineLevel="0" collapsed="false">
      <c r="A8" s="3" t="s">
        <v>114</v>
      </c>
      <c r="B8" s="20" t="n">
        <f aca="false">SUM(B5:B7)</f>
        <v>410000</v>
      </c>
      <c r="C8" s="20" t="n">
        <f aca="false">SUM(C5:C7)</f>
        <v>5535000</v>
      </c>
      <c r="D8" s="20" t="n">
        <f aca="false">SUM(D5:D7)</f>
        <v>26520000</v>
      </c>
      <c r="E8" s="20" t="n">
        <f aca="false">SUM(E5:E7)</f>
        <v>75000000</v>
      </c>
      <c r="F8" s="20" t="n">
        <f aca="false">SUM(F5:F7)</f>
        <v>175700000</v>
      </c>
    </row>
    <row r="9" customFormat="false" ht="15" hidden="false" customHeight="false" outlineLevel="0" collapsed="false">
      <c r="A9" s="2" t="s">
        <v>115</v>
      </c>
      <c r="B9" s="21" t="n">
        <f aca="false">0</f>
        <v>0</v>
      </c>
      <c r="C9" s="21" t="n">
        <f aca="false">IF(B8=0,0,C8/B8-1)</f>
        <v>12.5</v>
      </c>
      <c r="D9" s="21" t="n">
        <f aca="false">IF(C8=0,0,D8/C8-1)</f>
        <v>3.79132791327913</v>
      </c>
      <c r="E9" s="21" t="n">
        <f aca="false">IF(D8=0,0,E8/D8-1)</f>
        <v>1.82805429864253</v>
      </c>
      <c r="F9" s="21" t="n">
        <f aca="false">IF(E8=0,0,F8/E8-1)</f>
        <v>1.34266666666667</v>
      </c>
    </row>
    <row r="11" customFormat="false" ht="15" hidden="false" customHeight="false" outlineLevel="0" collapsed="false">
      <c r="A11" s="15" t="s">
        <v>116</v>
      </c>
      <c r="B11" s="16"/>
      <c r="C11" s="16"/>
      <c r="D11" s="16"/>
      <c r="E11" s="16"/>
      <c r="F11" s="16"/>
    </row>
    <row r="12" customFormat="false" ht="15" hidden="false" customHeight="false" outlineLevel="0" collapsed="false">
      <c r="A12" s="2" t="s">
        <v>117</v>
      </c>
      <c r="B12" s="18" t="n">
        <f aca="false">Customers!B27*Assumptions!B31</f>
        <v>36000</v>
      </c>
      <c r="C12" s="18" t="n">
        <f aca="false">Customers!C27*Assumptions!C31</f>
        <v>300000</v>
      </c>
      <c r="D12" s="18" t="n">
        <f aca="false">Customers!D27*Assumptions!D31</f>
        <v>1134000</v>
      </c>
      <c r="E12" s="18" t="n">
        <f aca="false">Customers!E27*Assumptions!E31</f>
        <v>2100000</v>
      </c>
      <c r="F12" s="18" t="n">
        <f aca="false">Customers!F27*Assumptions!F31</f>
        <v>3969000</v>
      </c>
    </row>
    <row r="13" customFormat="false" ht="15" hidden="false" customHeight="false" outlineLevel="0" collapsed="false">
      <c r="A13" s="2" t="s">
        <v>118</v>
      </c>
      <c r="B13" s="18" t="n">
        <f aca="false">Customers!B28*Assumptions!B33</f>
        <v>27000</v>
      </c>
      <c r="C13" s="18" t="n">
        <f aca="false">Customers!C28*Assumptions!C33</f>
        <v>337500</v>
      </c>
      <c r="D13" s="18" t="n">
        <f aca="false">Customers!D28*Assumptions!D33</f>
        <v>1134000</v>
      </c>
      <c r="E13" s="18" t="n">
        <f aca="false">Customers!E28*Assumptions!E33</f>
        <v>2100000</v>
      </c>
      <c r="F13" s="18" t="n">
        <f aca="false">Customers!F28*Assumptions!F33</f>
        <v>3528000</v>
      </c>
    </row>
    <row r="14" customFormat="false" ht="15" hidden="false" customHeight="false" outlineLevel="0" collapsed="false">
      <c r="A14" s="2" t="s">
        <v>119</v>
      </c>
      <c r="B14" s="18" t="n">
        <f aca="false">Customers!B26*Assumptions!B34</f>
        <v>45000</v>
      </c>
      <c r="C14" s="18" t="n">
        <f aca="false">Customers!C26*Assumptions!C34</f>
        <v>450000</v>
      </c>
      <c r="D14" s="18" t="n">
        <f aca="false">Customers!D26*Assumptions!D34</f>
        <v>1890000</v>
      </c>
      <c r="E14" s="18" t="n">
        <f aca="false">Customers!E26*Assumptions!E34</f>
        <v>3500000</v>
      </c>
      <c r="F14" s="18" t="n">
        <f aca="false">Customers!F26*Assumptions!F34</f>
        <v>5880000</v>
      </c>
    </row>
    <row r="15" customFormat="false" ht="15" hidden="false" customHeight="false" outlineLevel="0" collapsed="false">
      <c r="A15" s="2" t="s">
        <v>120</v>
      </c>
      <c r="B15" s="18" t="n">
        <f aca="false">Assumptions!B35</f>
        <v>150000</v>
      </c>
      <c r="C15" s="18" t="n">
        <f aca="false">Assumptions!C35</f>
        <v>300000</v>
      </c>
      <c r="D15" s="18" t="n">
        <f aca="false">Assumptions!D35</f>
        <v>800000</v>
      </c>
      <c r="E15" s="18" t="n">
        <f aca="false">Assumptions!E35</f>
        <v>1500000</v>
      </c>
      <c r="F15" s="18" t="n">
        <f aca="false">Assumptions!F35</f>
        <v>2500000</v>
      </c>
    </row>
    <row r="16" customFormat="false" ht="15" hidden="false" customHeight="false" outlineLevel="0" collapsed="false">
      <c r="A16" s="2" t="s">
        <v>121</v>
      </c>
      <c r="B16" s="17" t="n">
        <f aca="false">B8*Assumptions!B36</f>
        <v>8200</v>
      </c>
      <c r="C16" s="17" t="n">
        <f aca="false">C8*Assumptions!C36</f>
        <v>110700</v>
      </c>
      <c r="D16" s="17" t="n">
        <f aca="false">D8*Assumptions!D36</f>
        <v>530400</v>
      </c>
      <c r="E16" s="17" t="n">
        <f aca="false">E8*Assumptions!E36</f>
        <v>1500000</v>
      </c>
      <c r="F16" s="17" t="n">
        <f aca="false">F8*Assumptions!F36</f>
        <v>3514000</v>
      </c>
    </row>
    <row r="17" customFormat="false" ht="15" hidden="false" customHeight="false" outlineLevel="0" collapsed="false">
      <c r="A17" s="3" t="s">
        <v>122</v>
      </c>
      <c r="B17" s="20" t="n">
        <f aca="false">SUM(B12:B16)</f>
        <v>266200</v>
      </c>
      <c r="C17" s="20" t="n">
        <f aca="false">SUM(C12:C16)</f>
        <v>1498200</v>
      </c>
      <c r="D17" s="20" t="n">
        <f aca="false">SUM(D12:D16)</f>
        <v>5488400</v>
      </c>
      <c r="E17" s="20" t="n">
        <f aca="false">SUM(E12:E16)</f>
        <v>10700000</v>
      </c>
      <c r="F17" s="20" t="n">
        <f aca="false">SUM(F12:F16)</f>
        <v>19391000</v>
      </c>
    </row>
    <row r="18" customFormat="false" ht="15" hidden="false" customHeight="false" outlineLevel="0" collapsed="false">
      <c r="A18" s="3" t="s">
        <v>123</v>
      </c>
      <c r="B18" s="20" t="n">
        <f aca="false">B8-B17</f>
        <v>143800</v>
      </c>
      <c r="C18" s="20" t="n">
        <f aca="false">C8-C17</f>
        <v>4036800</v>
      </c>
      <c r="D18" s="20" t="n">
        <f aca="false">D8-D17</f>
        <v>21031600</v>
      </c>
      <c r="E18" s="20" t="n">
        <f aca="false">E8-E17</f>
        <v>64300000</v>
      </c>
      <c r="F18" s="20" t="n">
        <f aca="false">F8-F17</f>
        <v>156309000</v>
      </c>
    </row>
    <row r="19" customFormat="false" ht="15" hidden="false" customHeight="false" outlineLevel="0" collapsed="false">
      <c r="A19" s="2" t="s">
        <v>124</v>
      </c>
      <c r="B19" s="21" t="n">
        <f aca="false">IF(B8=0,0,B18/B8)</f>
        <v>0.350731707317073</v>
      </c>
      <c r="C19" s="21" t="n">
        <f aca="false">IF(C8=0,0,C18/C8)</f>
        <v>0.729322493224932</v>
      </c>
      <c r="D19" s="21" t="n">
        <f aca="false">IF(D8=0,0,D18/D8)</f>
        <v>0.793046757164404</v>
      </c>
      <c r="E19" s="21" t="n">
        <f aca="false">IF(E8=0,0,E18/E8)</f>
        <v>0.857333333333333</v>
      </c>
      <c r="F19" s="21" t="n">
        <f aca="false">IF(F8=0,0,F18/F8)</f>
        <v>0.889635742743313</v>
      </c>
    </row>
    <row r="21" customFormat="false" ht="15" hidden="false" customHeight="false" outlineLevel="0" collapsed="false">
      <c r="A21" s="15" t="s">
        <v>125</v>
      </c>
      <c r="B21" s="16"/>
      <c r="C21" s="16"/>
      <c r="D21" s="16"/>
      <c r="E21" s="16"/>
      <c r="F21" s="16"/>
    </row>
    <row r="22" customFormat="false" ht="15" hidden="false" customHeight="false" outlineLevel="0" collapsed="false">
      <c r="A22" s="2" t="s">
        <v>126</v>
      </c>
      <c r="B22" s="18" t="n">
        <f aca="false">Assumptions!B37*Assumptions!B38</f>
        <v>720000</v>
      </c>
      <c r="C22" s="18" t="n">
        <f aca="false">Assumptions!C37*Assumptions!C38</f>
        <v>1920000</v>
      </c>
      <c r="D22" s="18" t="n">
        <f aca="false">Assumptions!D37*Assumptions!D38</f>
        <v>2880000</v>
      </c>
      <c r="E22" s="18" t="n">
        <f aca="false">Assumptions!E37*Assumptions!E38</f>
        <v>3600000</v>
      </c>
      <c r="F22" s="18" t="n">
        <f aca="false">Assumptions!F37*Assumptions!F38</f>
        <v>4800000</v>
      </c>
    </row>
    <row r="23" customFormat="false" ht="15" hidden="false" customHeight="false" outlineLevel="0" collapsed="false">
      <c r="A23" s="2" t="s">
        <v>127</v>
      </c>
      <c r="B23" s="18" t="n">
        <f aca="false">Assumptions!B39*Assumptions!$B$13*Assumptions!B40</f>
        <v>1200000</v>
      </c>
      <c r="C23" s="18" t="n">
        <f aca="false">Assumptions!C39*Assumptions!$B$13*Assumptions!C40</f>
        <v>3600000</v>
      </c>
      <c r="D23" s="18" t="n">
        <f aca="false">Assumptions!D39*Assumptions!$B$13*Assumptions!D40</f>
        <v>8000000</v>
      </c>
      <c r="E23" s="18" t="n">
        <f aca="false">Assumptions!E39*Assumptions!$B$13*Assumptions!E40</f>
        <v>16500000</v>
      </c>
      <c r="F23" s="18" t="n">
        <f aca="false">Assumptions!F39*Assumptions!$B$13*Assumptions!F40</f>
        <v>31200000</v>
      </c>
    </row>
    <row r="24" customFormat="false" ht="15" hidden="false" customHeight="false" outlineLevel="0" collapsed="false">
      <c r="A24" s="2" t="s">
        <v>128</v>
      </c>
      <c r="B24" s="18" t="n">
        <f aca="false">Assumptions!B41*Assumptions!$B$13*Assumptions!B42</f>
        <v>500000</v>
      </c>
      <c r="C24" s="18" t="n">
        <f aca="false">Assumptions!C41*Assumptions!$B$13*Assumptions!C42</f>
        <v>2400000</v>
      </c>
      <c r="D24" s="18" t="n">
        <f aca="false">Assumptions!D41*Assumptions!$B$13*Assumptions!D42</f>
        <v>7000000</v>
      </c>
      <c r="E24" s="18" t="n">
        <f aca="false">Assumptions!E41*Assumptions!$B$13*Assumptions!E42</f>
        <v>14250000</v>
      </c>
      <c r="F24" s="18" t="n">
        <f aca="false">Assumptions!F41*Assumptions!$B$13*Assumptions!F42</f>
        <v>27200000</v>
      </c>
    </row>
    <row r="25" customFormat="false" ht="15" hidden="false" customHeight="false" outlineLevel="0" collapsed="false">
      <c r="A25" s="2" t="s">
        <v>129</v>
      </c>
      <c r="B25" s="18" t="n">
        <f aca="false">Assumptions!B43*Assumptions!$B$13*Assumptions!B44</f>
        <v>300000</v>
      </c>
      <c r="C25" s="18" t="n">
        <f aca="false">Assumptions!C43*Assumptions!$B$13*Assumptions!C44</f>
        <v>700000</v>
      </c>
      <c r="D25" s="18" t="n">
        <f aca="false">Assumptions!D43*Assumptions!$B$13*Assumptions!D44</f>
        <v>1600000</v>
      </c>
      <c r="E25" s="18" t="n">
        <f aca="false">Assumptions!E43*Assumptions!$B$13*Assumptions!E44</f>
        <v>3150000</v>
      </c>
      <c r="F25" s="18" t="n">
        <f aca="false">Assumptions!F43*Assumptions!$B$13*Assumptions!F44</f>
        <v>6000000</v>
      </c>
    </row>
    <row r="26" customFormat="false" ht="15" hidden="false" customHeight="false" outlineLevel="0" collapsed="false">
      <c r="A26" s="2" t="s">
        <v>130</v>
      </c>
      <c r="B26" s="18" t="n">
        <f aca="false">Assumptions!B45*Assumptions!$B$13</f>
        <v>200000</v>
      </c>
      <c r="C26" s="18" t="n">
        <f aca="false">Assumptions!C45*Assumptions!$B$13</f>
        <v>600000</v>
      </c>
      <c r="D26" s="18" t="n">
        <f aca="false">Assumptions!D45*Assumptions!$B$13</f>
        <v>1500000</v>
      </c>
      <c r="E26" s="18" t="n">
        <f aca="false">Assumptions!E45*Assumptions!$B$13</f>
        <v>2800000</v>
      </c>
      <c r="F26" s="18" t="n">
        <f aca="false">Assumptions!F45*Assumptions!$B$13</f>
        <v>4800000</v>
      </c>
    </row>
    <row r="27" customFormat="false" ht="15" hidden="false" customHeight="false" outlineLevel="0" collapsed="false">
      <c r="A27" s="3" t="s">
        <v>131</v>
      </c>
      <c r="B27" s="20" t="n">
        <f aca="false">SUM(B22:B26)</f>
        <v>2920000</v>
      </c>
      <c r="C27" s="20" t="n">
        <f aca="false">SUM(C22:C26)</f>
        <v>9220000</v>
      </c>
      <c r="D27" s="20" t="n">
        <f aca="false">SUM(D22:D26)</f>
        <v>20980000</v>
      </c>
      <c r="E27" s="20" t="n">
        <f aca="false">SUM(E22:E26)</f>
        <v>40300000</v>
      </c>
      <c r="F27" s="20" t="n">
        <f aca="false">SUM(F22:F26)</f>
        <v>74000000</v>
      </c>
    </row>
    <row r="28" customFormat="false" ht="15" hidden="false" customHeight="false" outlineLevel="0" collapsed="false">
      <c r="A28" s="2" t="s">
        <v>132</v>
      </c>
      <c r="B28" s="18" t="n">
        <f aca="false">Customers!B8*Assumptions!B26+Customers!B15*Assumptions!B27+Customers!B22*Assumptions!B28</f>
        <v>310000</v>
      </c>
      <c r="C28" s="18" t="n">
        <f aca="false">Customers!C8*Assumptions!C26+Customers!C15*Assumptions!C27+Customers!C22*Assumptions!C28</f>
        <v>2160000</v>
      </c>
      <c r="D28" s="18" t="n">
        <f aca="false">Customers!D8*Assumptions!D26+Customers!D15*Assumptions!D27+Customers!D22*Assumptions!D28</f>
        <v>7230000</v>
      </c>
      <c r="E28" s="18" t="n">
        <f aca="false">Customers!E8*Assumptions!E26+Customers!E15*Assumptions!E27+Customers!E22*Assumptions!E28</f>
        <v>13890000</v>
      </c>
      <c r="F28" s="18" t="n">
        <f aca="false">Customers!F8*Assumptions!F26+Customers!F15*Assumptions!F27+Customers!F22*Assumptions!F28</f>
        <v>26150000</v>
      </c>
    </row>
    <row r="29" customFormat="false" ht="15" hidden="false" customHeight="false" outlineLevel="0" collapsed="false">
      <c r="A29" s="2" t="s">
        <v>133</v>
      </c>
      <c r="B29" s="18" t="n">
        <f aca="false">Assumptions!B46</f>
        <v>400000</v>
      </c>
      <c r="C29" s="18" t="n">
        <f aca="false">Assumptions!C46</f>
        <v>800000</v>
      </c>
      <c r="D29" s="18" t="n">
        <f aca="false">Assumptions!D46</f>
        <v>1500000</v>
      </c>
      <c r="E29" s="18" t="n">
        <f aca="false">Assumptions!E46</f>
        <v>2500000</v>
      </c>
      <c r="F29" s="18" t="n">
        <f aca="false">Assumptions!F46</f>
        <v>4000000</v>
      </c>
    </row>
    <row r="30" customFormat="false" ht="15" hidden="false" customHeight="false" outlineLevel="0" collapsed="false">
      <c r="A30" s="2" t="s">
        <v>134</v>
      </c>
      <c r="B30" s="18" t="n">
        <f aca="false">Assumptions!B47</f>
        <v>300000</v>
      </c>
      <c r="C30" s="18" t="n">
        <f aca="false">Assumptions!C47</f>
        <v>800000</v>
      </c>
      <c r="D30" s="18" t="n">
        <f aca="false">Assumptions!D47</f>
        <v>1800000</v>
      </c>
      <c r="E30" s="18" t="n">
        <f aca="false">Assumptions!E47</f>
        <v>3000000</v>
      </c>
      <c r="F30" s="18" t="n">
        <f aca="false">Assumptions!F47</f>
        <v>5500000</v>
      </c>
    </row>
    <row r="31" customFormat="false" ht="15" hidden="false" customHeight="false" outlineLevel="0" collapsed="false">
      <c r="A31" s="3" t="s">
        <v>135</v>
      </c>
      <c r="B31" s="20" t="n">
        <f aca="false">B27+B28+B29+B30</f>
        <v>3930000</v>
      </c>
      <c r="C31" s="20" t="n">
        <f aca="false">C27+C28+C29+C30</f>
        <v>12980000</v>
      </c>
      <c r="D31" s="20" t="n">
        <f aca="false">D27+D28+D29+D30</f>
        <v>31510000</v>
      </c>
      <c r="E31" s="20" t="n">
        <f aca="false">E27+E28+E29+E30</f>
        <v>59690000</v>
      </c>
      <c r="F31" s="20" t="n">
        <f aca="false">F27+F28+F29+F30</f>
        <v>109650000</v>
      </c>
    </row>
    <row r="33" customFormat="false" ht="15" hidden="false" customHeight="false" outlineLevel="0" collapsed="false">
      <c r="A33" s="3" t="s">
        <v>136</v>
      </c>
      <c r="B33" s="20" t="n">
        <f aca="false">B18-B31</f>
        <v>-3786200</v>
      </c>
      <c r="C33" s="20" t="n">
        <f aca="false">C18-C31</f>
        <v>-8943200</v>
      </c>
      <c r="D33" s="20" t="n">
        <f aca="false">D18-D31</f>
        <v>-10478400</v>
      </c>
      <c r="E33" s="20" t="n">
        <f aca="false">E18-E31</f>
        <v>4610000</v>
      </c>
      <c r="F33" s="20" t="n">
        <f aca="false">F18-F31</f>
        <v>46659000</v>
      </c>
    </row>
    <row r="34" customFormat="false" ht="15" hidden="false" customHeight="false" outlineLevel="0" collapsed="false">
      <c r="A34" s="2" t="s">
        <v>137</v>
      </c>
      <c r="B34" s="21" t="n">
        <f aca="false">IF(B8=0,0,B33/B8)</f>
        <v>-9.23463414634146</v>
      </c>
      <c r="C34" s="21" t="n">
        <f aca="false">IF(C8=0,0,C33/C8)</f>
        <v>-1.61575429087624</v>
      </c>
      <c r="D34" s="21" t="n">
        <f aca="false">IF(D8=0,0,D33/D8)</f>
        <v>-0.395113122171946</v>
      </c>
      <c r="E34" s="21" t="n">
        <f aca="false">IF(E8=0,0,E33/E8)</f>
        <v>0.0614666666666667</v>
      </c>
      <c r="F34" s="21" t="n">
        <f aca="false">IF(F8=0,0,F33/F8)</f>
        <v>0.265560614684121</v>
      </c>
    </row>
    <row r="35" customFormat="false" ht="15" hidden="false" customHeight="false" outlineLevel="0" collapsed="false">
      <c r="A35" s="2" t="s">
        <v>138</v>
      </c>
      <c r="B35" s="17" t="n">
        <f aca="false">MAX(0,B33)*Assumptions!$B$51</f>
        <v>0</v>
      </c>
      <c r="C35" s="17" t="n">
        <f aca="false">MAX(0,C33)*Assumptions!$B$51</f>
        <v>0</v>
      </c>
      <c r="D35" s="17" t="n">
        <f aca="false">MAX(0,D33)*Assumptions!$B$51</f>
        <v>0</v>
      </c>
      <c r="E35" s="17" t="n">
        <f aca="false">MAX(0,E33)*Assumptions!$B$51</f>
        <v>1152500</v>
      </c>
      <c r="F35" s="17" t="n">
        <f aca="false">MAX(0,F33)*Assumptions!$B$51</f>
        <v>11664750</v>
      </c>
    </row>
    <row r="36" customFormat="false" ht="15" hidden="false" customHeight="false" outlineLevel="0" collapsed="false">
      <c r="A36" s="3" t="s">
        <v>139</v>
      </c>
      <c r="B36" s="20" t="n">
        <f aca="false">B33-B35</f>
        <v>-3786200</v>
      </c>
      <c r="C36" s="20" t="n">
        <f aca="false">C33-C35</f>
        <v>-8943200</v>
      </c>
      <c r="D36" s="20" t="n">
        <f aca="false">D33-D35</f>
        <v>-10478400</v>
      </c>
      <c r="E36" s="20" t="n">
        <f aca="false">E33-E35</f>
        <v>3457500</v>
      </c>
      <c r="F36" s="20" t="n">
        <f aca="false">F33-F35</f>
        <v>34994250</v>
      </c>
    </row>
    <row r="38" customFormat="false" ht="15" hidden="false" customHeight="false" outlineLevel="0" collapsed="false">
      <c r="A38" s="15" t="s">
        <v>140</v>
      </c>
      <c r="B38" s="16"/>
      <c r="C38" s="16"/>
      <c r="D38" s="16"/>
      <c r="E38" s="16"/>
      <c r="F38" s="16"/>
    </row>
    <row r="39" customFormat="false" ht="15" hidden="false" customHeight="false" outlineLevel="0" collapsed="false">
      <c r="A39" s="2" t="s">
        <v>141</v>
      </c>
      <c r="B39" s="18" t="n">
        <f aca="false">Assumptions!$B$50</f>
        <v>500000</v>
      </c>
      <c r="C39" s="18" t="n">
        <f aca="false">B42</f>
        <v>26713800</v>
      </c>
      <c r="D39" s="18" t="n">
        <f aca="false">C42</f>
        <v>17770600</v>
      </c>
      <c r="E39" s="18" t="n">
        <f aca="false">D42</f>
        <v>7292200</v>
      </c>
      <c r="F39" s="18" t="n">
        <f aca="false">E42</f>
        <v>10749700</v>
      </c>
    </row>
    <row r="40" customFormat="false" ht="15" hidden="false" customHeight="false" outlineLevel="0" collapsed="false">
      <c r="A40" s="2" t="s">
        <v>142</v>
      </c>
      <c r="B40" s="18" t="n">
        <f aca="false">Assumptions!B48</f>
        <v>30000000</v>
      </c>
      <c r="C40" s="18" t="n">
        <f aca="false">Assumptions!C48</f>
        <v>0</v>
      </c>
      <c r="D40" s="18" t="n">
        <f aca="false">Assumptions!D48</f>
        <v>0</v>
      </c>
      <c r="E40" s="18" t="n">
        <f aca="false">Assumptions!E48</f>
        <v>0</v>
      </c>
      <c r="F40" s="18" t="n">
        <f aca="false">Assumptions!F48</f>
        <v>0</v>
      </c>
    </row>
    <row r="41" customFormat="false" ht="15" hidden="false" customHeight="false" outlineLevel="0" collapsed="false">
      <c r="A41" s="2" t="s">
        <v>143</v>
      </c>
      <c r="B41" s="17" t="n">
        <f aca="false">B36</f>
        <v>-3786200</v>
      </c>
      <c r="C41" s="17" t="n">
        <f aca="false">C36</f>
        <v>-8943200</v>
      </c>
      <c r="D41" s="17" t="n">
        <f aca="false">D36</f>
        <v>-10478400</v>
      </c>
      <c r="E41" s="17" t="n">
        <f aca="false">E36</f>
        <v>3457500</v>
      </c>
      <c r="F41" s="17" t="n">
        <f aca="false">F36</f>
        <v>34994250</v>
      </c>
    </row>
    <row r="42" customFormat="false" ht="15" hidden="false" customHeight="false" outlineLevel="0" collapsed="false">
      <c r="A42" s="3" t="s">
        <v>144</v>
      </c>
      <c r="B42" s="20" t="n">
        <f aca="false">B39+B40+B41</f>
        <v>26713800</v>
      </c>
      <c r="C42" s="20" t="n">
        <f aca="false">C39+C40+C41</f>
        <v>17770600</v>
      </c>
      <c r="D42" s="20" t="n">
        <f aca="false">D39+D40+D41</f>
        <v>7292200</v>
      </c>
      <c r="E42" s="20" t="n">
        <f aca="false">E39+E40+E41</f>
        <v>10749700</v>
      </c>
      <c r="F42" s="20" t="n">
        <f aca="false">F39+F40+F41</f>
        <v>45743950</v>
      </c>
    </row>
    <row r="43" customFormat="false" ht="15" hidden="false" customHeight="false" outlineLevel="0" collapsed="false">
      <c r="A43" s="2" t="s">
        <v>145</v>
      </c>
      <c r="B43" s="17" t="n">
        <f aca="false">MAX(0,-B33)/12</f>
        <v>315516.666666667</v>
      </c>
      <c r="C43" s="17" t="n">
        <f aca="false">MAX(0,-C33)/12</f>
        <v>745266.666666667</v>
      </c>
      <c r="D43" s="17" t="n">
        <f aca="false">MAX(0,-D33)/12</f>
        <v>873200</v>
      </c>
      <c r="E43" s="17" t="n">
        <f aca="false">MAX(0,-E33)/12</f>
        <v>0</v>
      </c>
      <c r="F43" s="17" t="n">
        <f aca="false">MAX(0,-F33)/12</f>
        <v>0</v>
      </c>
    </row>
    <row r="44" customFormat="false" ht="15" hidden="false" customHeight="false" outlineLevel="0" collapsed="false">
      <c r="A44" s="2" t="s">
        <v>146</v>
      </c>
      <c r="B44" s="22" t="n">
        <f aca="false">IF(B43=0,"n/a",(B39+B40)/B43)</f>
        <v>96.6668427447045</v>
      </c>
      <c r="C44" s="22" t="n">
        <f aca="false">IF(C43=0,"n/a",(C39+C40)/C43)</f>
        <v>35.844619375615</v>
      </c>
      <c r="D44" s="22" t="n">
        <f aca="false">IF(D43=0,"n/a",(D39+D40)/D43)</f>
        <v>20.3511223087494</v>
      </c>
      <c r="E44" s="22" t="str">
        <f aca="false">IF(E43=0,"n/a",(E39+E40)/E43)</f>
        <v>n/a</v>
      </c>
      <c r="F44" s="22" t="str">
        <f aca="false">IF(F43=0,"n/a",(F39+F40)/F43)</f>
        <v>n/a</v>
      </c>
    </row>
    <row r="45" customFormat="false" ht="15" hidden="false" customHeight="false" outlineLevel="0" collapsed="false">
      <c r="A45" s="2" t="s">
        <v>147</v>
      </c>
      <c r="B45" s="23" t="n">
        <f aca="false">IF(B33&gt;0,1,0)</f>
        <v>0</v>
      </c>
      <c r="C45" s="23" t="n">
        <f aca="false">IF(C33&gt;0,1,0)</f>
        <v>0</v>
      </c>
      <c r="D45" s="23" t="n">
        <f aca="false">IF(D33&gt;0,1,0)</f>
        <v>0</v>
      </c>
      <c r="E45" s="23" t="n">
        <f aca="false">IF(E33&gt;0,1,0)</f>
        <v>1</v>
      </c>
      <c r="F45" s="23" t="n">
        <f aca="false">IF(F33&gt;0,1,0)</f>
        <v>1</v>
      </c>
    </row>
    <row r="47" customFormat="false" ht="15" hidden="false" customHeight="false" outlineLevel="0" collapsed="false">
      <c r="A47" s="3" t="s">
        <v>148</v>
      </c>
      <c r="B47" s="3" t="str">
        <f aca="false">IFERROR(INDEX(B3:F3,MATCH(1,B45:F45,0)),"Beyond Year 5")</f>
        <v>Year 4</v>
      </c>
    </row>
    <row r="48" customFormat="false" ht="15" hidden="false" customHeight="false" outlineLevel="0" collapsed="false">
      <c r="A48" s="3" t="s">
        <v>149</v>
      </c>
      <c r="B48" s="20" t="n">
        <f aca="false">MIN(B42:F42)</f>
        <v>7292200</v>
      </c>
    </row>
    <row r="49" customFormat="false" ht="15" hidden="false" customHeight="false" outlineLevel="0" collapsed="false">
      <c r="A49" s="2" t="s">
        <v>150</v>
      </c>
      <c r="B49" s="24" t="n">
        <f aca="false">ROUND(SUM(B5:F7)-SUM(B8:F8),2)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151</v>
      </c>
    </row>
    <row r="3" customFormat="false" ht="15" hidden="false" customHeight="false" outlineLevel="0" collapsed="false">
      <c r="A3" s="5" t="s">
        <v>152</v>
      </c>
      <c r="B3" s="5" t="s">
        <v>153</v>
      </c>
      <c r="C3" s="5" t="s">
        <v>154</v>
      </c>
      <c r="D3" s="5" t="s">
        <v>155</v>
      </c>
      <c r="E3" s="5" t="s">
        <v>156</v>
      </c>
    </row>
    <row r="4" customFormat="false" ht="15" hidden="false" customHeight="false" outlineLevel="0" collapsed="false">
      <c r="A4" s="2" t="s">
        <v>157</v>
      </c>
      <c r="B4" s="18" t="n">
        <f aca="false">Assumptions!D23*Assumptions!$B$12</f>
        <v>180000</v>
      </c>
      <c r="C4" s="18" t="n">
        <f aca="false">Assumptions!D24*Assumptions!$B$12</f>
        <v>48000</v>
      </c>
      <c r="D4" s="18" t="n">
        <f aca="false">Assumptions!D25*Assumptions!$B$12</f>
        <v>330000</v>
      </c>
      <c r="E4" s="2" t="s">
        <v>158</v>
      </c>
    </row>
    <row r="5" customFormat="false" ht="15" hidden="false" customHeight="false" outlineLevel="0" collapsed="false">
      <c r="A5" s="2" t="s">
        <v>159</v>
      </c>
      <c r="B5" s="10" t="n">
        <v>0.75</v>
      </c>
      <c r="C5" s="10" t="n">
        <v>0.8</v>
      </c>
      <c r="D5" s="10" t="n">
        <v>0.8</v>
      </c>
      <c r="E5" s="2" t="s">
        <v>160</v>
      </c>
    </row>
    <row r="6" customFormat="false" ht="15" hidden="false" customHeight="false" outlineLevel="0" collapsed="false">
      <c r="A6" s="2" t="s">
        <v>161</v>
      </c>
      <c r="B6" s="25" t="n">
        <f aca="false">Assumptions!D20</f>
        <v>0.1</v>
      </c>
      <c r="C6" s="25" t="n">
        <f aca="false">Assumptions!D21</f>
        <v>0.4</v>
      </c>
      <c r="D6" s="25" t="n">
        <f aca="false">Assumptions!D22</f>
        <v>0.25</v>
      </c>
      <c r="E6" s="2" t="s">
        <v>162</v>
      </c>
    </row>
    <row r="7" customFormat="false" ht="15" hidden="false" customHeight="false" outlineLevel="0" collapsed="false">
      <c r="A7" s="2" t="s">
        <v>163</v>
      </c>
      <c r="B7" s="14" t="n">
        <v>3</v>
      </c>
      <c r="C7" s="14" t="n">
        <v>3</v>
      </c>
      <c r="D7" s="14" t="n">
        <v>3</v>
      </c>
      <c r="E7" s="2" t="s">
        <v>164</v>
      </c>
    </row>
    <row r="8" customFormat="false" ht="15" hidden="false" customHeight="false" outlineLevel="0" collapsed="false">
      <c r="A8" s="2" t="s">
        <v>165</v>
      </c>
      <c r="B8" s="22" t="n">
        <f aca="false">MIN(1/B6,B7)</f>
        <v>3</v>
      </c>
      <c r="C8" s="22" t="n">
        <f aca="false">MIN(1/C6,C7)</f>
        <v>2.5</v>
      </c>
      <c r="D8" s="22" t="n">
        <f aca="false">MIN(1/D6,D7)</f>
        <v>3</v>
      </c>
      <c r="E8" s="2"/>
    </row>
    <row r="9" customFormat="false" ht="15" hidden="false" customHeight="false" outlineLevel="0" collapsed="false">
      <c r="A9" s="2" t="s">
        <v>166</v>
      </c>
      <c r="B9" s="17" t="n">
        <f aca="false">B4*B5*B8</f>
        <v>405000</v>
      </c>
      <c r="C9" s="17" t="n">
        <f aca="false">C4*C5*C8</f>
        <v>96000</v>
      </c>
      <c r="D9" s="17" t="n">
        <f aca="false">D4*D5*D8</f>
        <v>792000</v>
      </c>
      <c r="E9" s="2"/>
    </row>
    <row r="10" customFormat="false" ht="15" hidden="false" customHeight="false" outlineLevel="0" collapsed="false">
      <c r="A10" s="2" t="s">
        <v>167</v>
      </c>
      <c r="B10" s="18" t="n">
        <f aca="false">Assumptions!D26</f>
        <v>50000</v>
      </c>
      <c r="C10" s="18" t="n">
        <f aca="false">Assumptions!D27</f>
        <v>10000</v>
      </c>
      <c r="D10" s="18" t="n">
        <f aca="false">Assumptions!D28</f>
        <v>50000</v>
      </c>
      <c r="E10" s="2" t="s">
        <v>168</v>
      </c>
    </row>
    <row r="11" customFormat="false" ht="15" hidden="false" customHeight="false" outlineLevel="0" collapsed="false">
      <c r="A11" s="2" t="s">
        <v>169</v>
      </c>
      <c r="B11" s="18" t="n">
        <f aca="false">PnL!$D$24/(Customers!$D$8+Customers!$D$15+Customers!$D$22)</f>
        <v>21943.5736677116</v>
      </c>
      <c r="C11" s="18" t="n">
        <f aca="false">PnL!$D$24/(Customers!$D$8+Customers!$D$15+Customers!$D$22)</f>
        <v>21943.5736677116</v>
      </c>
      <c r="D11" s="18" t="n">
        <f aca="false">PnL!$D$24/(Customers!$D$8+Customers!$D$15+Customers!$D$22)</f>
        <v>21943.5736677116</v>
      </c>
      <c r="E11" s="2" t="s">
        <v>170</v>
      </c>
    </row>
    <row r="12" customFormat="false" ht="15" hidden="false" customHeight="false" outlineLevel="0" collapsed="false">
      <c r="A12" s="2" t="s">
        <v>171</v>
      </c>
      <c r="B12" s="17" t="n">
        <f aca="false">B10+B11</f>
        <v>71943.5736677116</v>
      </c>
      <c r="C12" s="17" t="n">
        <f aca="false">C10+C11</f>
        <v>31943.5736677116</v>
      </c>
      <c r="D12" s="17" t="n">
        <f aca="false">D10+D11</f>
        <v>71943.5736677116</v>
      </c>
      <c r="E12" s="2"/>
    </row>
    <row r="13" customFormat="false" ht="15" hidden="false" customHeight="false" outlineLevel="0" collapsed="false">
      <c r="A13" s="2" t="s">
        <v>172</v>
      </c>
      <c r="B13" s="26" t="n">
        <f aca="false">B9/B12</f>
        <v>5.62941176470588</v>
      </c>
      <c r="C13" s="26" t="n">
        <f aca="false">C9/C12</f>
        <v>3.00529931305201</v>
      </c>
      <c r="D13" s="26" t="n">
        <f aca="false">D9/D12</f>
        <v>11.0086274509804</v>
      </c>
      <c r="E13" s="2" t="s">
        <v>173</v>
      </c>
    </row>
    <row r="14" customFormat="false" ht="15" hidden="false" customHeight="false" outlineLevel="0" collapsed="false">
      <c r="A14" s="2" t="s">
        <v>174</v>
      </c>
      <c r="B14" s="22" t="n">
        <f aca="false">B12/(B4*B5/12)</f>
        <v>6.39498432601881</v>
      </c>
      <c r="C14" s="22" t="n">
        <f aca="false">C12/(C4*C5/12)</f>
        <v>9.98236677115987</v>
      </c>
      <c r="D14" s="22" t="n">
        <f aca="false">D12/(D4*D5/12)</f>
        <v>3.27016243944144</v>
      </c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15" hidden="false" customHeight="false" outlineLevel="0" collapsed="false">
      <c r="A4" s="15" t="s">
        <v>17</v>
      </c>
      <c r="B4" s="16"/>
      <c r="C4" s="16"/>
      <c r="D4" s="16"/>
      <c r="E4" s="16"/>
      <c r="F4" s="16"/>
    </row>
    <row r="5" customFormat="false" ht="15" hidden="false" customHeight="false" outlineLevel="0" collapsed="false">
      <c r="A5" s="5" t="s">
        <v>177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customFormat="false" ht="15" hidden="false" customHeight="false" outlineLevel="0" collapsed="false">
      <c r="A6" s="2" t="s">
        <v>110</v>
      </c>
      <c r="B6" s="19" t="n">
        <v>2.2</v>
      </c>
      <c r="C6" s="19" t="n">
        <v>25.9</v>
      </c>
      <c r="D6" s="19" t="n">
        <v>119.7</v>
      </c>
      <c r="E6" s="19" t="n">
        <v>337.5</v>
      </c>
      <c r="F6" s="19" t="n">
        <v>790.6</v>
      </c>
    </row>
    <row r="7" customFormat="false" ht="15" hidden="false" customHeight="false" outlineLevel="0" collapsed="false">
      <c r="A7" s="2" t="s">
        <v>123</v>
      </c>
      <c r="B7" s="19" t="n">
        <v>0.1</v>
      </c>
      <c r="C7" s="19" t="n">
        <v>16.7</v>
      </c>
      <c r="D7" s="19" t="n">
        <v>88.6</v>
      </c>
      <c r="E7" s="19" t="n">
        <v>277.2</v>
      </c>
      <c r="F7" s="19" t="n">
        <v>683</v>
      </c>
    </row>
    <row r="8" customFormat="false" ht="15" hidden="false" customHeight="false" outlineLevel="0" collapsed="false">
      <c r="A8" s="2" t="s">
        <v>125</v>
      </c>
      <c r="B8" s="19" t="n">
        <v>29.2</v>
      </c>
      <c r="C8" s="19" t="n">
        <v>89.8</v>
      </c>
      <c r="D8" s="19" t="n">
        <v>205.8</v>
      </c>
      <c r="E8" s="19" t="n">
        <v>380.9</v>
      </c>
      <c r="F8" s="19" t="n">
        <v>689.2</v>
      </c>
    </row>
    <row r="9" customFormat="false" ht="15" hidden="false" customHeight="false" outlineLevel="0" collapsed="false">
      <c r="A9" s="2" t="s">
        <v>136</v>
      </c>
      <c r="B9" s="19" t="n">
        <v>-29.1</v>
      </c>
      <c r="C9" s="19" t="n">
        <v>-73.1</v>
      </c>
      <c r="D9" s="19" t="n">
        <v>-117.2</v>
      </c>
      <c r="E9" s="19" t="n">
        <v>-103.7</v>
      </c>
      <c r="F9" s="19" t="n">
        <v>-6.2</v>
      </c>
    </row>
    <row r="10" customFormat="false" ht="15" hidden="false" customHeight="false" outlineLevel="0" collapsed="false">
      <c r="A10" s="2" t="s">
        <v>144</v>
      </c>
      <c r="B10" s="19" t="n">
        <v>275.9</v>
      </c>
      <c r="C10" s="19" t="n">
        <v>202.8</v>
      </c>
      <c r="D10" s="19" t="n">
        <v>85.6</v>
      </c>
      <c r="E10" s="19" t="n">
        <v>-18</v>
      </c>
      <c r="F10" s="19" t="n">
        <v>-24.3</v>
      </c>
    </row>
    <row r="11" customFormat="false" ht="15" hidden="false" customHeight="false" outlineLevel="0" collapsed="false">
      <c r="A11" s="2" t="s">
        <v>148</v>
      </c>
      <c r="B11" s="2" t="s">
        <v>178</v>
      </c>
    </row>
    <row r="12" customFormat="false" ht="15" hidden="false" customHeight="false" outlineLevel="0" collapsed="false">
      <c r="A12" s="2" t="s">
        <v>179</v>
      </c>
      <c r="B12" s="19" t="n">
        <v>-24.3</v>
      </c>
    </row>
    <row r="14" customFormat="false" ht="15" hidden="false" customHeight="false" outlineLevel="0" collapsed="false">
      <c r="A14" s="15" t="s">
        <v>18</v>
      </c>
      <c r="B14" s="16"/>
      <c r="C14" s="16"/>
      <c r="D14" s="16"/>
      <c r="E14" s="16"/>
      <c r="F14" s="16"/>
    </row>
    <row r="15" customFormat="false" ht="15" hidden="false" customHeight="false" outlineLevel="0" collapsed="false">
      <c r="A15" s="5" t="s">
        <v>177</v>
      </c>
      <c r="B15" s="5" t="s">
        <v>24</v>
      </c>
      <c r="C15" s="5" t="s">
        <v>25</v>
      </c>
      <c r="D15" s="5" t="s">
        <v>26</v>
      </c>
      <c r="E15" s="5" t="s">
        <v>27</v>
      </c>
      <c r="F15" s="5" t="s">
        <v>28</v>
      </c>
    </row>
    <row r="16" customFormat="false" ht="15" hidden="false" customHeight="false" outlineLevel="0" collapsed="false">
      <c r="A16" s="2" t="s">
        <v>110</v>
      </c>
      <c r="B16" s="19" t="n">
        <v>4.1</v>
      </c>
      <c r="C16" s="19" t="n">
        <v>55.4</v>
      </c>
      <c r="D16" s="19" t="n">
        <v>265.2</v>
      </c>
      <c r="E16" s="19" t="n">
        <v>750</v>
      </c>
      <c r="F16" s="19" t="n">
        <v>1757</v>
      </c>
    </row>
    <row r="17" customFormat="false" ht="15" hidden="false" customHeight="false" outlineLevel="0" collapsed="false">
      <c r="A17" s="2" t="s">
        <v>123</v>
      </c>
      <c r="B17" s="19" t="n">
        <v>1.4</v>
      </c>
      <c r="C17" s="19" t="n">
        <v>40.4</v>
      </c>
      <c r="D17" s="19" t="n">
        <v>210.3</v>
      </c>
      <c r="E17" s="19" t="n">
        <v>643</v>
      </c>
      <c r="F17" s="19" t="n">
        <v>1563.1</v>
      </c>
    </row>
    <row r="18" customFormat="false" ht="15" hidden="false" customHeight="false" outlineLevel="0" collapsed="false">
      <c r="A18" s="2" t="s">
        <v>125</v>
      </c>
      <c r="B18" s="19" t="n">
        <v>39.3</v>
      </c>
      <c r="C18" s="19" t="n">
        <v>129.8</v>
      </c>
      <c r="D18" s="19" t="n">
        <v>315.1</v>
      </c>
      <c r="E18" s="19" t="n">
        <v>596.9</v>
      </c>
      <c r="F18" s="19" t="n">
        <v>1096.5</v>
      </c>
    </row>
    <row r="19" customFormat="false" ht="15" hidden="false" customHeight="false" outlineLevel="0" collapsed="false">
      <c r="A19" s="2" t="s">
        <v>136</v>
      </c>
      <c r="B19" s="19" t="n">
        <v>-37.9</v>
      </c>
      <c r="C19" s="19" t="n">
        <v>-89.4</v>
      </c>
      <c r="D19" s="19" t="n">
        <v>-104.8</v>
      </c>
      <c r="E19" s="19" t="n">
        <v>46.1</v>
      </c>
      <c r="F19" s="19" t="n">
        <v>466.6</v>
      </c>
    </row>
    <row r="20" customFormat="false" ht="15" hidden="false" customHeight="false" outlineLevel="0" collapsed="false">
      <c r="A20" s="2" t="s">
        <v>144</v>
      </c>
      <c r="B20" s="19" t="n">
        <v>267.1</v>
      </c>
      <c r="C20" s="19" t="n">
        <v>177.7</v>
      </c>
      <c r="D20" s="19" t="n">
        <v>72.9</v>
      </c>
      <c r="E20" s="19" t="n">
        <v>107.5</v>
      </c>
      <c r="F20" s="19" t="n">
        <v>457.4</v>
      </c>
    </row>
    <row r="21" customFormat="false" ht="15" hidden="false" customHeight="false" outlineLevel="0" collapsed="false">
      <c r="A21" s="2" t="s">
        <v>148</v>
      </c>
      <c r="B21" s="2" t="s">
        <v>27</v>
      </c>
    </row>
    <row r="22" customFormat="false" ht="15" hidden="false" customHeight="false" outlineLevel="0" collapsed="false">
      <c r="A22" s="2" t="s">
        <v>179</v>
      </c>
      <c r="B22" s="19" t="n">
        <v>72.9</v>
      </c>
    </row>
    <row r="24" customFormat="false" ht="15" hidden="false" customHeight="false" outlineLevel="0" collapsed="false">
      <c r="A24" s="15" t="s">
        <v>19</v>
      </c>
      <c r="B24" s="16"/>
      <c r="C24" s="16"/>
      <c r="D24" s="16"/>
      <c r="E24" s="16"/>
      <c r="F24" s="16"/>
    </row>
    <row r="25" customFormat="false" ht="15" hidden="false" customHeight="false" outlineLevel="0" collapsed="false">
      <c r="A25" s="5" t="s">
        <v>177</v>
      </c>
      <c r="B25" s="5" t="s">
        <v>24</v>
      </c>
      <c r="C25" s="5" t="s">
        <v>25</v>
      </c>
      <c r="D25" s="5" t="s">
        <v>26</v>
      </c>
      <c r="E25" s="5" t="s">
        <v>27</v>
      </c>
      <c r="F25" s="5" t="s">
        <v>28</v>
      </c>
    </row>
    <row r="26" customFormat="false" ht="15" hidden="false" customHeight="false" outlineLevel="0" collapsed="false">
      <c r="A26" s="2" t="s">
        <v>110</v>
      </c>
      <c r="B26" s="19" t="n">
        <v>6.1</v>
      </c>
      <c r="C26" s="19" t="n">
        <v>84.8</v>
      </c>
      <c r="D26" s="19" t="n">
        <v>408.4</v>
      </c>
      <c r="E26" s="19" t="n">
        <v>1155</v>
      </c>
      <c r="F26" s="19" t="n">
        <v>2705.8</v>
      </c>
    </row>
    <row r="27" customFormat="false" ht="15" hidden="false" customHeight="false" outlineLevel="0" collapsed="false">
      <c r="A27" s="2" t="s">
        <v>123</v>
      </c>
      <c r="B27" s="19" t="n">
        <v>2.9</v>
      </c>
      <c r="C27" s="19" t="n">
        <v>64.9</v>
      </c>
      <c r="D27" s="19" t="n">
        <v>334</v>
      </c>
      <c r="E27" s="19" t="n">
        <v>1009.1</v>
      </c>
      <c r="F27" s="19" t="n">
        <v>2439.4</v>
      </c>
    </row>
    <row r="28" customFormat="false" ht="15" hidden="false" customHeight="false" outlineLevel="0" collapsed="false">
      <c r="A28" s="2" t="s">
        <v>125</v>
      </c>
      <c r="B28" s="19" t="n">
        <v>44.9</v>
      </c>
      <c r="C28" s="19" t="n">
        <v>153.6</v>
      </c>
      <c r="D28" s="19" t="n">
        <v>380</v>
      </c>
      <c r="E28" s="19" t="n">
        <v>726.1</v>
      </c>
      <c r="F28" s="19" t="n">
        <v>1339.5</v>
      </c>
    </row>
    <row r="29" customFormat="false" ht="15" hidden="false" customHeight="false" outlineLevel="0" collapsed="false">
      <c r="A29" s="2" t="s">
        <v>136</v>
      </c>
      <c r="B29" s="19" t="n">
        <v>-42</v>
      </c>
      <c r="C29" s="19" t="n">
        <v>-88.7</v>
      </c>
      <c r="D29" s="19" t="n">
        <v>-46</v>
      </c>
      <c r="E29" s="19" t="n">
        <v>283</v>
      </c>
      <c r="F29" s="19" t="n">
        <v>1099.9</v>
      </c>
    </row>
    <row r="30" customFormat="false" ht="15" hidden="false" customHeight="false" outlineLevel="0" collapsed="false">
      <c r="A30" s="2" t="s">
        <v>144</v>
      </c>
      <c r="B30" s="19" t="n">
        <v>263</v>
      </c>
      <c r="C30" s="19" t="n">
        <v>174.3</v>
      </c>
      <c r="D30" s="19" t="n">
        <v>128.3</v>
      </c>
      <c r="E30" s="19" t="n">
        <v>340.5</v>
      </c>
      <c r="F30" s="19" t="n">
        <v>1165.4</v>
      </c>
    </row>
    <row r="31" customFormat="false" ht="15" hidden="false" customHeight="false" outlineLevel="0" collapsed="false">
      <c r="A31" s="2" t="s">
        <v>148</v>
      </c>
      <c r="B31" s="2" t="s">
        <v>27</v>
      </c>
    </row>
    <row r="32" customFormat="false" ht="15" hidden="false" customHeight="false" outlineLevel="0" collapsed="false">
      <c r="A32" s="2" t="s">
        <v>179</v>
      </c>
      <c r="B32" s="19" t="n">
        <v>128.3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2026-10-30T08:56:47Z</dcterms:created>
  <dc:creator>openpyxl</dc:creator>
  <dc:description/>
  <dc:language>en-US</dc:language>
  <cp:lastModifiedBy/>
  <dcterms:modified xsi:type="dcterms:W3CDTF">2026-10-30T08:56:47Z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